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to\Dianela\Comparativa AFIP y Protheus (IVA) - Entrada\"/>
    </mc:Choice>
  </mc:AlternateContent>
  <xr:revisionPtr revIDLastSave="0" documentId="13_ncr:1_{F62C03DB-7B6D-499A-B539-E5B5948A6EE5}" xr6:coauthVersionLast="47" xr6:coauthVersionMax="47" xr10:uidLastSave="{00000000-0000-0000-0000-000000000000}"/>
  <bookViews>
    <workbookView xWindow="-108" yWindow="-108" windowWidth="23256" windowHeight="12576" activeTab="2" xr2:uid="{63E7D480-CFFF-46B0-A809-259803544582}"/>
  </bookViews>
  <sheets>
    <sheet name="Protheus" sheetId="2" r:id="rId1"/>
    <sheet name="AFIP" sheetId="6" r:id="rId2"/>
    <sheet name="Comparativo" sheetId="7" r:id="rId3"/>
  </sheets>
  <definedNames>
    <definedName name="_xlnm._FilterDatabase" localSheetId="1" hidden="1">AFIP!$A$1:$R$522</definedName>
    <definedName name="_xlnm._FilterDatabase" localSheetId="0" hidden="1">Protheus!$A$1:$W$601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7" i="2" l="1"/>
  <c r="T447" i="2" s="1"/>
  <c r="U447" i="2" s="1"/>
  <c r="S448" i="2"/>
  <c r="T448" i="2" s="1"/>
  <c r="U448" i="2" s="1"/>
  <c r="S449" i="2"/>
  <c r="T449" i="2" s="1"/>
  <c r="U449" i="2" s="1"/>
  <c r="S450" i="2"/>
  <c r="T450" i="2" s="1"/>
  <c r="U450" i="2" s="1"/>
  <c r="S451" i="2"/>
  <c r="T451" i="2" s="1"/>
  <c r="U451" i="2" s="1"/>
  <c r="S452" i="2"/>
  <c r="T452" i="2" s="1"/>
  <c r="U452" i="2" s="1"/>
  <c r="S453" i="2"/>
  <c r="T453" i="2" s="1"/>
  <c r="U453" i="2" s="1"/>
  <c r="S454" i="2"/>
  <c r="V454" i="2" s="1"/>
  <c r="W454" i="2" s="1"/>
  <c r="S455" i="2"/>
  <c r="T455" i="2" s="1"/>
  <c r="U455" i="2" s="1"/>
  <c r="S456" i="2"/>
  <c r="T456" i="2" s="1"/>
  <c r="U456" i="2" s="1"/>
  <c r="S457" i="2"/>
  <c r="T457" i="2" s="1"/>
  <c r="U457" i="2" s="1"/>
  <c r="S458" i="2"/>
  <c r="T458" i="2" s="1"/>
  <c r="U458" i="2" s="1"/>
  <c r="S459" i="2"/>
  <c r="T459" i="2" s="1"/>
  <c r="U459" i="2" s="1"/>
  <c r="S460" i="2"/>
  <c r="T460" i="2" s="1"/>
  <c r="U460" i="2" s="1"/>
  <c r="S461" i="2"/>
  <c r="V461" i="2" s="1"/>
  <c r="W461" i="2" s="1"/>
  <c r="S462" i="2"/>
  <c r="T462" i="2" s="1"/>
  <c r="U462" i="2" s="1"/>
  <c r="S463" i="2"/>
  <c r="T463" i="2" s="1"/>
  <c r="U463" i="2" s="1"/>
  <c r="S464" i="2"/>
  <c r="T464" i="2" s="1"/>
  <c r="U464" i="2" s="1"/>
  <c r="S465" i="2"/>
  <c r="T465" i="2" s="1"/>
  <c r="U465" i="2" s="1"/>
  <c r="S466" i="2"/>
  <c r="T466" i="2" s="1"/>
  <c r="U466" i="2" s="1"/>
  <c r="S467" i="2"/>
  <c r="T467" i="2" s="1"/>
  <c r="U467" i="2" s="1"/>
  <c r="S468" i="2"/>
  <c r="V468" i="2" s="1"/>
  <c r="W468" i="2" s="1"/>
  <c r="S469" i="2"/>
  <c r="T469" i="2" s="1"/>
  <c r="U469" i="2" s="1"/>
  <c r="S470" i="2"/>
  <c r="T470" i="2" s="1"/>
  <c r="U470" i="2" s="1"/>
  <c r="S471" i="2"/>
  <c r="T471" i="2" s="1"/>
  <c r="U471" i="2" s="1"/>
  <c r="S472" i="2"/>
  <c r="T472" i="2" s="1"/>
  <c r="U472" i="2" s="1"/>
  <c r="S473" i="2"/>
  <c r="T473" i="2" s="1"/>
  <c r="U473" i="2" s="1"/>
  <c r="S474" i="2"/>
  <c r="T474" i="2" s="1"/>
  <c r="U474" i="2" s="1"/>
  <c r="S475" i="2"/>
  <c r="V475" i="2" s="1"/>
  <c r="W475" i="2" s="1"/>
  <c r="S476" i="2"/>
  <c r="T476" i="2" s="1"/>
  <c r="U476" i="2" s="1"/>
  <c r="S477" i="2"/>
  <c r="T477" i="2" s="1"/>
  <c r="U477" i="2" s="1"/>
  <c r="S478" i="2"/>
  <c r="T478" i="2" s="1"/>
  <c r="U478" i="2" s="1"/>
  <c r="S479" i="2"/>
  <c r="T479" i="2" s="1"/>
  <c r="U479" i="2" s="1"/>
  <c r="S480" i="2"/>
  <c r="T480" i="2" s="1"/>
  <c r="U480" i="2" s="1"/>
  <c r="S481" i="2"/>
  <c r="T481" i="2" s="1"/>
  <c r="U481" i="2" s="1"/>
  <c r="S482" i="2"/>
  <c r="T482" i="2" s="1"/>
  <c r="U482" i="2" s="1"/>
  <c r="S483" i="2"/>
  <c r="T483" i="2" s="1"/>
  <c r="U483" i="2" s="1"/>
  <c r="S484" i="2"/>
  <c r="T484" i="2" s="1"/>
  <c r="U484" i="2" s="1"/>
  <c r="S485" i="2"/>
  <c r="T485" i="2" s="1"/>
  <c r="U485" i="2" s="1"/>
  <c r="S486" i="2"/>
  <c r="T486" i="2" s="1"/>
  <c r="U486" i="2" s="1"/>
  <c r="S487" i="2"/>
  <c r="T487" i="2" s="1"/>
  <c r="U487" i="2" s="1"/>
  <c r="S488" i="2"/>
  <c r="T488" i="2" s="1"/>
  <c r="U488" i="2" s="1"/>
  <c r="S489" i="2"/>
  <c r="T489" i="2" s="1"/>
  <c r="U489" i="2" s="1"/>
  <c r="S490" i="2"/>
  <c r="T490" i="2" s="1"/>
  <c r="U490" i="2" s="1"/>
  <c r="S491" i="2"/>
  <c r="T491" i="2" s="1"/>
  <c r="U491" i="2" s="1"/>
  <c r="S492" i="2"/>
  <c r="T492" i="2" s="1"/>
  <c r="U492" i="2" s="1"/>
  <c r="S493" i="2"/>
  <c r="T493" i="2" s="1"/>
  <c r="U493" i="2" s="1"/>
  <c r="S494" i="2"/>
  <c r="T494" i="2" s="1"/>
  <c r="U494" i="2" s="1"/>
  <c r="S495" i="2"/>
  <c r="T495" i="2" s="1"/>
  <c r="U495" i="2" s="1"/>
  <c r="S496" i="2"/>
  <c r="T496" i="2" s="1"/>
  <c r="U496" i="2" s="1"/>
  <c r="S497" i="2"/>
  <c r="T497" i="2" s="1"/>
  <c r="U497" i="2" s="1"/>
  <c r="S498" i="2"/>
  <c r="T498" i="2" s="1"/>
  <c r="U498" i="2" s="1"/>
  <c r="S499" i="2"/>
  <c r="T499" i="2" s="1"/>
  <c r="U499" i="2" s="1"/>
  <c r="S500" i="2"/>
  <c r="T500" i="2" s="1"/>
  <c r="U500" i="2" s="1"/>
  <c r="S501" i="2"/>
  <c r="T501" i="2" s="1"/>
  <c r="U501" i="2" s="1"/>
  <c r="S502" i="2"/>
  <c r="T502" i="2" s="1"/>
  <c r="U502" i="2" s="1"/>
  <c r="S503" i="2"/>
  <c r="T503" i="2" s="1"/>
  <c r="U503" i="2" s="1"/>
  <c r="S504" i="2"/>
  <c r="T504" i="2" s="1"/>
  <c r="U504" i="2" s="1"/>
  <c r="S505" i="2"/>
  <c r="T505" i="2" s="1"/>
  <c r="U505" i="2" s="1"/>
  <c r="S506" i="2"/>
  <c r="T506" i="2" s="1"/>
  <c r="U506" i="2" s="1"/>
  <c r="S507" i="2"/>
  <c r="T507" i="2" s="1"/>
  <c r="U507" i="2" s="1"/>
  <c r="S508" i="2"/>
  <c r="T508" i="2" s="1"/>
  <c r="U508" i="2" s="1"/>
  <c r="S509" i="2"/>
  <c r="T509" i="2" s="1"/>
  <c r="U509" i="2" s="1"/>
  <c r="S510" i="2"/>
  <c r="T510" i="2" s="1"/>
  <c r="U510" i="2" s="1"/>
  <c r="S511" i="2"/>
  <c r="T511" i="2" s="1"/>
  <c r="U511" i="2" s="1"/>
  <c r="S512" i="2"/>
  <c r="T512" i="2" s="1"/>
  <c r="U512" i="2" s="1"/>
  <c r="S513" i="2"/>
  <c r="T513" i="2" s="1"/>
  <c r="U513" i="2" s="1"/>
  <c r="S514" i="2"/>
  <c r="T514" i="2" s="1"/>
  <c r="U514" i="2" s="1"/>
  <c r="S515" i="2"/>
  <c r="T515" i="2" s="1"/>
  <c r="U515" i="2" s="1"/>
  <c r="S516" i="2"/>
  <c r="T516" i="2" s="1"/>
  <c r="U516" i="2" s="1"/>
  <c r="S517" i="2"/>
  <c r="T517" i="2" s="1"/>
  <c r="U517" i="2" s="1"/>
  <c r="S518" i="2"/>
  <c r="V518" i="2" s="1"/>
  <c r="W518" i="2" s="1"/>
  <c r="S519" i="2"/>
  <c r="T519" i="2" s="1"/>
  <c r="U519" i="2" s="1"/>
  <c r="S520" i="2"/>
  <c r="T520" i="2" s="1"/>
  <c r="U520" i="2" s="1"/>
  <c r="S521" i="2"/>
  <c r="T521" i="2" s="1"/>
  <c r="U521" i="2" s="1"/>
  <c r="S522" i="2"/>
  <c r="T522" i="2" s="1"/>
  <c r="U522" i="2" s="1"/>
  <c r="S523" i="2"/>
  <c r="T523" i="2" s="1"/>
  <c r="U523" i="2" s="1"/>
  <c r="S524" i="2"/>
  <c r="T524" i="2" s="1"/>
  <c r="U524" i="2" s="1"/>
  <c r="S525" i="2"/>
  <c r="V525" i="2" s="1"/>
  <c r="W525" i="2" s="1"/>
  <c r="S526" i="2"/>
  <c r="T526" i="2" s="1"/>
  <c r="U526" i="2" s="1"/>
  <c r="S527" i="2"/>
  <c r="T527" i="2" s="1"/>
  <c r="U527" i="2" s="1"/>
  <c r="S528" i="2"/>
  <c r="T528" i="2" s="1"/>
  <c r="U528" i="2" s="1"/>
  <c r="S529" i="2"/>
  <c r="T529" i="2" s="1"/>
  <c r="U529" i="2" s="1"/>
  <c r="S530" i="2"/>
  <c r="T530" i="2" s="1"/>
  <c r="U530" i="2" s="1"/>
  <c r="S531" i="2"/>
  <c r="T531" i="2" s="1"/>
  <c r="U531" i="2" s="1"/>
  <c r="S532" i="2"/>
  <c r="V532" i="2" s="1"/>
  <c r="W532" i="2" s="1"/>
  <c r="S533" i="2"/>
  <c r="T533" i="2" s="1"/>
  <c r="U533" i="2" s="1"/>
  <c r="S534" i="2"/>
  <c r="T534" i="2" s="1"/>
  <c r="U534" i="2" s="1"/>
  <c r="S535" i="2"/>
  <c r="T535" i="2" s="1"/>
  <c r="U535" i="2" s="1"/>
  <c r="S536" i="2"/>
  <c r="T536" i="2" s="1"/>
  <c r="U536" i="2" s="1"/>
  <c r="S537" i="2"/>
  <c r="T537" i="2" s="1"/>
  <c r="U537" i="2" s="1"/>
  <c r="S538" i="2"/>
  <c r="T538" i="2" s="1"/>
  <c r="U538" i="2" s="1"/>
  <c r="S539" i="2"/>
  <c r="V539" i="2" s="1"/>
  <c r="W539" i="2" s="1"/>
  <c r="S540" i="2"/>
  <c r="T540" i="2" s="1"/>
  <c r="U540" i="2" s="1"/>
  <c r="S541" i="2"/>
  <c r="T541" i="2" s="1"/>
  <c r="U541" i="2" s="1"/>
  <c r="S542" i="2"/>
  <c r="T542" i="2" s="1"/>
  <c r="U542" i="2" s="1"/>
  <c r="S543" i="2"/>
  <c r="T543" i="2" s="1"/>
  <c r="U543" i="2" s="1"/>
  <c r="S544" i="2"/>
  <c r="T544" i="2" s="1"/>
  <c r="U544" i="2" s="1"/>
  <c r="S545" i="2"/>
  <c r="T545" i="2" s="1"/>
  <c r="U545" i="2" s="1"/>
  <c r="S546" i="2"/>
  <c r="T546" i="2" s="1"/>
  <c r="U546" i="2" s="1"/>
  <c r="S547" i="2"/>
  <c r="T547" i="2" s="1"/>
  <c r="U547" i="2" s="1"/>
  <c r="S548" i="2"/>
  <c r="T548" i="2" s="1"/>
  <c r="U548" i="2" s="1"/>
  <c r="S549" i="2"/>
  <c r="T549" i="2" s="1"/>
  <c r="U549" i="2" s="1"/>
  <c r="S550" i="2"/>
  <c r="T550" i="2" s="1"/>
  <c r="U550" i="2" s="1"/>
  <c r="S551" i="2"/>
  <c r="T551" i="2" s="1"/>
  <c r="U551" i="2" s="1"/>
  <c r="S552" i="2"/>
  <c r="T552" i="2" s="1"/>
  <c r="U552" i="2" s="1"/>
  <c r="S553" i="2"/>
  <c r="T553" i="2" s="1"/>
  <c r="U553" i="2" s="1"/>
  <c r="S554" i="2"/>
  <c r="T554" i="2" s="1"/>
  <c r="U554" i="2" s="1"/>
  <c r="S555" i="2"/>
  <c r="T555" i="2" s="1"/>
  <c r="U555" i="2" s="1"/>
  <c r="S556" i="2"/>
  <c r="T556" i="2" s="1"/>
  <c r="U556" i="2" s="1"/>
  <c r="S557" i="2"/>
  <c r="T557" i="2" s="1"/>
  <c r="U557" i="2" s="1"/>
  <c r="S558" i="2"/>
  <c r="T558" i="2" s="1"/>
  <c r="U558" i="2" s="1"/>
  <c r="S559" i="2"/>
  <c r="T559" i="2" s="1"/>
  <c r="U559" i="2" s="1"/>
  <c r="S560" i="2"/>
  <c r="T560" i="2" s="1"/>
  <c r="U560" i="2" s="1"/>
  <c r="S561" i="2"/>
  <c r="V561" i="2" s="1"/>
  <c r="W561" i="2" s="1"/>
  <c r="S562" i="2"/>
  <c r="T562" i="2" s="1"/>
  <c r="U562" i="2" s="1"/>
  <c r="S563" i="2"/>
  <c r="T563" i="2" s="1"/>
  <c r="U563" i="2" s="1"/>
  <c r="S564" i="2"/>
  <c r="T564" i="2" s="1"/>
  <c r="U564" i="2" s="1"/>
  <c r="S565" i="2"/>
  <c r="T565" i="2" s="1"/>
  <c r="U565" i="2" s="1"/>
  <c r="S566" i="2"/>
  <c r="T566" i="2" s="1"/>
  <c r="U566" i="2" s="1"/>
  <c r="S567" i="2"/>
  <c r="T567" i="2" s="1"/>
  <c r="U567" i="2" s="1"/>
  <c r="S568" i="2"/>
  <c r="V568" i="2" s="1"/>
  <c r="W568" i="2" s="1"/>
  <c r="S569" i="2"/>
  <c r="T569" i="2" s="1"/>
  <c r="U569" i="2" s="1"/>
  <c r="S570" i="2"/>
  <c r="T570" i="2" s="1"/>
  <c r="U570" i="2" s="1"/>
  <c r="S571" i="2"/>
  <c r="T571" i="2" s="1"/>
  <c r="U571" i="2" s="1"/>
  <c r="S572" i="2"/>
  <c r="T572" i="2" s="1"/>
  <c r="U572" i="2" s="1"/>
  <c r="S573" i="2"/>
  <c r="T573" i="2" s="1"/>
  <c r="U573" i="2" s="1"/>
  <c r="S574" i="2"/>
  <c r="T574" i="2" s="1"/>
  <c r="U574" i="2" s="1"/>
  <c r="S575" i="2"/>
  <c r="T575" i="2" s="1"/>
  <c r="U575" i="2" s="1"/>
  <c r="S576" i="2"/>
  <c r="T576" i="2" s="1"/>
  <c r="U576" i="2" s="1"/>
  <c r="S577" i="2"/>
  <c r="T577" i="2" s="1"/>
  <c r="U577" i="2" s="1"/>
  <c r="S578" i="2"/>
  <c r="T578" i="2" s="1"/>
  <c r="U578" i="2" s="1"/>
  <c r="S579" i="2"/>
  <c r="T579" i="2" s="1"/>
  <c r="U579" i="2" s="1"/>
  <c r="S580" i="2"/>
  <c r="T580" i="2" s="1"/>
  <c r="U580" i="2" s="1"/>
  <c r="S581" i="2"/>
  <c r="T581" i="2" s="1"/>
  <c r="U581" i="2" s="1"/>
  <c r="S582" i="2"/>
  <c r="T582" i="2" s="1"/>
  <c r="U582" i="2" s="1"/>
  <c r="S583" i="2"/>
  <c r="T583" i="2" s="1"/>
  <c r="U583" i="2" s="1"/>
  <c r="S584" i="2"/>
  <c r="T584" i="2" s="1"/>
  <c r="U584" i="2" s="1"/>
  <c r="S585" i="2"/>
  <c r="T585" i="2" s="1"/>
  <c r="U585" i="2" s="1"/>
  <c r="S586" i="2"/>
  <c r="T586" i="2" s="1"/>
  <c r="U586" i="2" s="1"/>
  <c r="S587" i="2"/>
  <c r="T587" i="2" s="1"/>
  <c r="U587" i="2" s="1"/>
  <c r="S588" i="2"/>
  <c r="T588" i="2" s="1"/>
  <c r="U588" i="2" s="1"/>
  <c r="S589" i="2"/>
  <c r="T589" i="2" s="1"/>
  <c r="U589" i="2" s="1"/>
  <c r="S590" i="2"/>
  <c r="T590" i="2" s="1"/>
  <c r="U590" i="2" s="1"/>
  <c r="S591" i="2"/>
  <c r="T591" i="2" s="1"/>
  <c r="U591" i="2" s="1"/>
  <c r="S592" i="2"/>
  <c r="T592" i="2" s="1"/>
  <c r="U592" i="2" s="1"/>
  <c r="S593" i="2"/>
  <c r="T593" i="2" s="1"/>
  <c r="U593" i="2" s="1"/>
  <c r="S594" i="2"/>
  <c r="T594" i="2" s="1"/>
  <c r="U594" i="2" s="1"/>
  <c r="S595" i="2"/>
  <c r="T595" i="2" s="1"/>
  <c r="U595" i="2" s="1"/>
  <c r="S596" i="2"/>
  <c r="T596" i="2" s="1"/>
  <c r="U596" i="2" s="1"/>
  <c r="S597" i="2"/>
  <c r="T597" i="2" s="1"/>
  <c r="U597" i="2" s="1"/>
  <c r="S598" i="2"/>
  <c r="T598" i="2" s="1"/>
  <c r="U598" i="2" s="1"/>
  <c r="S599" i="2"/>
  <c r="T599" i="2" s="1"/>
  <c r="U599" i="2" s="1"/>
  <c r="S600" i="2"/>
  <c r="T600" i="2" s="1"/>
  <c r="U600" i="2" s="1"/>
  <c r="S601" i="2"/>
  <c r="T601" i="2" s="1"/>
  <c r="U601" i="2" s="1"/>
  <c r="E523" i="6"/>
  <c r="E524" i="6"/>
  <c r="E525" i="6"/>
  <c r="E526" i="6"/>
  <c r="E527" i="6"/>
  <c r="F527" i="6" s="1"/>
  <c r="E528" i="6"/>
  <c r="F528" i="6" s="1"/>
  <c r="E529" i="6"/>
  <c r="F529" i="6" s="1"/>
  <c r="E530" i="6"/>
  <c r="E531" i="6"/>
  <c r="E532" i="6"/>
  <c r="E533" i="6"/>
  <c r="E534" i="6"/>
  <c r="F534" i="6" s="1"/>
  <c r="E535" i="6"/>
  <c r="E536" i="6"/>
  <c r="E537" i="6"/>
  <c r="F537" i="6" s="1"/>
  <c r="E538" i="6"/>
  <c r="F538" i="6" s="1"/>
  <c r="E539" i="6"/>
  <c r="E540" i="6"/>
  <c r="F540" i="6" s="1"/>
  <c r="F523" i="6"/>
  <c r="F524" i="6"/>
  <c r="F525" i="6"/>
  <c r="F526" i="6"/>
  <c r="F530" i="6"/>
  <c r="F531" i="6"/>
  <c r="F532" i="6"/>
  <c r="F533" i="6"/>
  <c r="F535" i="6"/>
  <c r="F536" i="6"/>
  <c r="F539" i="6"/>
  <c r="F437" i="6"/>
  <c r="F453" i="6"/>
  <c r="F469" i="6"/>
  <c r="F485" i="6"/>
  <c r="F501" i="6"/>
  <c r="F517" i="6"/>
  <c r="E422" i="6"/>
  <c r="F422" i="6" s="1"/>
  <c r="E423" i="6"/>
  <c r="F423" i="6" s="1"/>
  <c r="E424" i="6"/>
  <c r="F424" i="6" s="1"/>
  <c r="E425" i="6"/>
  <c r="F425" i="6" s="1"/>
  <c r="E426" i="6"/>
  <c r="F426" i="6" s="1"/>
  <c r="E427" i="6"/>
  <c r="F427" i="6" s="1"/>
  <c r="E428" i="6"/>
  <c r="F428" i="6" s="1"/>
  <c r="E429" i="6"/>
  <c r="F429" i="6" s="1"/>
  <c r="E430" i="6"/>
  <c r="F430" i="6" s="1"/>
  <c r="E431" i="6"/>
  <c r="F431" i="6" s="1"/>
  <c r="E432" i="6"/>
  <c r="F432" i="6" s="1"/>
  <c r="E433" i="6"/>
  <c r="F433" i="6" s="1"/>
  <c r="E434" i="6"/>
  <c r="F434" i="6" s="1"/>
  <c r="E435" i="6"/>
  <c r="F435" i="6" s="1"/>
  <c r="E436" i="6"/>
  <c r="F436" i="6" s="1"/>
  <c r="E437" i="6"/>
  <c r="E438" i="6"/>
  <c r="F438" i="6" s="1"/>
  <c r="E439" i="6"/>
  <c r="F439" i="6" s="1"/>
  <c r="E440" i="6"/>
  <c r="F440" i="6" s="1"/>
  <c r="E441" i="6"/>
  <c r="F441" i="6" s="1"/>
  <c r="E442" i="6"/>
  <c r="F442" i="6" s="1"/>
  <c r="E443" i="6"/>
  <c r="F443" i="6" s="1"/>
  <c r="E444" i="6"/>
  <c r="F444" i="6" s="1"/>
  <c r="E445" i="6"/>
  <c r="F445" i="6" s="1"/>
  <c r="E446" i="6"/>
  <c r="F446" i="6" s="1"/>
  <c r="E447" i="6"/>
  <c r="F447" i="6" s="1"/>
  <c r="E448" i="6"/>
  <c r="F448" i="6" s="1"/>
  <c r="E449" i="6"/>
  <c r="F449" i="6" s="1"/>
  <c r="E450" i="6"/>
  <c r="F450" i="6" s="1"/>
  <c r="E451" i="6"/>
  <c r="F451" i="6" s="1"/>
  <c r="E452" i="6"/>
  <c r="F452" i="6" s="1"/>
  <c r="E453" i="6"/>
  <c r="E454" i="6"/>
  <c r="F454" i="6" s="1"/>
  <c r="E455" i="6"/>
  <c r="F455" i="6" s="1"/>
  <c r="E456" i="6"/>
  <c r="F456" i="6" s="1"/>
  <c r="E457" i="6"/>
  <c r="F457" i="6" s="1"/>
  <c r="E458" i="6"/>
  <c r="F458" i="6" s="1"/>
  <c r="E459" i="6"/>
  <c r="F459" i="6" s="1"/>
  <c r="E460" i="6"/>
  <c r="F460" i="6" s="1"/>
  <c r="E461" i="6"/>
  <c r="F461" i="6" s="1"/>
  <c r="E462" i="6"/>
  <c r="F462" i="6" s="1"/>
  <c r="E463" i="6"/>
  <c r="F463" i="6" s="1"/>
  <c r="E464" i="6"/>
  <c r="F464" i="6" s="1"/>
  <c r="E465" i="6"/>
  <c r="F465" i="6" s="1"/>
  <c r="E466" i="6"/>
  <c r="F466" i="6" s="1"/>
  <c r="E467" i="6"/>
  <c r="F467" i="6" s="1"/>
  <c r="E468" i="6"/>
  <c r="F468" i="6" s="1"/>
  <c r="E469" i="6"/>
  <c r="E470" i="6"/>
  <c r="F470" i="6" s="1"/>
  <c r="E471" i="6"/>
  <c r="F471" i="6" s="1"/>
  <c r="E472" i="6"/>
  <c r="F472" i="6" s="1"/>
  <c r="E473" i="6"/>
  <c r="F473" i="6" s="1"/>
  <c r="E474" i="6"/>
  <c r="F474" i="6" s="1"/>
  <c r="E475" i="6"/>
  <c r="F475" i="6" s="1"/>
  <c r="E476" i="6"/>
  <c r="F476" i="6" s="1"/>
  <c r="E477" i="6"/>
  <c r="F477" i="6" s="1"/>
  <c r="E478" i="6"/>
  <c r="F478" i="6" s="1"/>
  <c r="E479" i="6"/>
  <c r="F479" i="6" s="1"/>
  <c r="E480" i="6"/>
  <c r="F480" i="6" s="1"/>
  <c r="E481" i="6"/>
  <c r="F481" i="6" s="1"/>
  <c r="E482" i="6"/>
  <c r="F482" i="6" s="1"/>
  <c r="E483" i="6"/>
  <c r="F483" i="6" s="1"/>
  <c r="E484" i="6"/>
  <c r="F484" i="6" s="1"/>
  <c r="E485" i="6"/>
  <c r="E486" i="6"/>
  <c r="F486" i="6" s="1"/>
  <c r="E487" i="6"/>
  <c r="F487" i="6" s="1"/>
  <c r="E488" i="6"/>
  <c r="F488" i="6" s="1"/>
  <c r="E489" i="6"/>
  <c r="F489" i="6" s="1"/>
  <c r="E490" i="6"/>
  <c r="F490" i="6" s="1"/>
  <c r="E491" i="6"/>
  <c r="F491" i="6" s="1"/>
  <c r="E492" i="6"/>
  <c r="F492" i="6" s="1"/>
  <c r="E493" i="6"/>
  <c r="F493" i="6" s="1"/>
  <c r="E494" i="6"/>
  <c r="F494" i="6" s="1"/>
  <c r="E495" i="6"/>
  <c r="F495" i="6" s="1"/>
  <c r="E496" i="6"/>
  <c r="F496" i="6" s="1"/>
  <c r="E497" i="6"/>
  <c r="F497" i="6" s="1"/>
  <c r="E498" i="6"/>
  <c r="F498" i="6" s="1"/>
  <c r="E499" i="6"/>
  <c r="F499" i="6" s="1"/>
  <c r="E500" i="6"/>
  <c r="F500" i="6" s="1"/>
  <c r="E501" i="6"/>
  <c r="E502" i="6"/>
  <c r="F502" i="6" s="1"/>
  <c r="E503" i="6"/>
  <c r="F503" i="6" s="1"/>
  <c r="E504" i="6"/>
  <c r="F504" i="6" s="1"/>
  <c r="E505" i="6"/>
  <c r="F505" i="6" s="1"/>
  <c r="E506" i="6"/>
  <c r="F506" i="6" s="1"/>
  <c r="E507" i="6"/>
  <c r="F507" i="6" s="1"/>
  <c r="E508" i="6"/>
  <c r="F508" i="6" s="1"/>
  <c r="E509" i="6"/>
  <c r="F509" i="6" s="1"/>
  <c r="E510" i="6"/>
  <c r="F510" i="6" s="1"/>
  <c r="E511" i="6"/>
  <c r="F511" i="6" s="1"/>
  <c r="E512" i="6"/>
  <c r="F512" i="6" s="1"/>
  <c r="E513" i="6"/>
  <c r="F513" i="6" s="1"/>
  <c r="E514" i="6"/>
  <c r="F514" i="6" s="1"/>
  <c r="E515" i="6"/>
  <c r="F515" i="6" s="1"/>
  <c r="E516" i="6"/>
  <c r="F516" i="6" s="1"/>
  <c r="E517" i="6"/>
  <c r="E518" i="6"/>
  <c r="F518" i="6" s="1"/>
  <c r="E519" i="6"/>
  <c r="F519" i="6" s="1"/>
  <c r="E520" i="6"/>
  <c r="F520" i="6" s="1"/>
  <c r="E521" i="6"/>
  <c r="F521" i="6" s="1"/>
  <c r="E522" i="6"/>
  <c r="F522" i="6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2" i="2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F135" i="6" s="1"/>
  <c r="E136" i="6"/>
  <c r="F136" i="6" s="1"/>
  <c r="E137" i="6"/>
  <c r="F137" i="6" s="1"/>
  <c r="E138" i="6"/>
  <c r="F138" i="6" s="1"/>
  <c r="E139" i="6"/>
  <c r="F139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F181" i="6" s="1"/>
  <c r="E182" i="6"/>
  <c r="F182" i="6" s="1"/>
  <c r="E183" i="6"/>
  <c r="F183" i="6" s="1"/>
  <c r="E184" i="6"/>
  <c r="F184" i="6" s="1"/>
  <c r="E185" i="6"/>
  <c r="F185" i="6" s="1"/>
  <c r="E186" i="6"/>
  <c r="F186" i="6" s="1"/>
  <c r="E187" i="6"/>
  <c r="F187" i="6" s="1"/>
  <c r="E188" i="6"/>
  <c r="F188" i="6" s="1"/>
  <c r="E189" i="6"/>
  <c r="F189" i="6" s="1"/>
  <c r="E190" i="6"/>
  <c r="F190" i="6" s="1"/>
  <c r="E191" i="6"/>
  <c r="F191" i="6" s="1"/>
  <c r="E192" i="6"/>
  <c r="F192" i="6" s="1"/>
  <c r="E193" i="6"/>
  <c r="F193" i="6" s="1"/>
  <c r="E194" i="6"/>
  <c r="F194" i="6" s="1"/>
  <c r="E195" i="6"/>
  <c r="F195" i="6" s="1"/>
  <c r="E196" i="6"/>
  <c r="F196" i="6" s="1"/>
  <c r="E197" i="6"/>
  <c r="F197" i="6" s="1"/>
  <c r="E198" i="6"/>
  <c r="F198" i="6" s="1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F224" i="6" s="1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F246" i="6" s="1"/>
  <c r="E247" i="6"/>
  <c r="F247" i="6" s="1"/>
  <c r="E248" i="6"/>
  <c r="F248" i="6" s="1"/>
  <c r="E249" i="6"/>
  <c r="F249" i="6" s="1"/>
  <c r="E250" i="6"/>
  <c r="F250" i="6" s="1"/>
  <c r="E251" i="6"/>
  <c r="F251" i="6" s="1"/>
  <c r="E252" i="6"/>
  <c r="F252" i="6" s="1"/>
  <c r="E253" i="6"/>
  <c r="F253" i="6" s="1"/>
  <c r="E254" i="6"/>
  <c r="F254" i="6" s="1"/>
  <c r="E255" i="6"/>
  <c r="F255" i="6" s="1"/>
  <c r="E256" i="6"/>
  <c r="F256" i="6" s="1"/>
  <c r="E257" i="6"/>
  <c r="F257" i="6" s="1"/>
  <c r="E258" i="6"/>
  <c r="F258" i="6" s="1"/>
  <c r="E259" i="6"/>
  <c r="F259" i="6" s="1"/>
  <c r="E260" i="6"/>
  <c r="F260" i="6" s="1"/>
  <c r="E261" i="6"/>
  <c r="F261" i="6" s="1"/>
  <c r="E262" i="6"/>
  <c r="F262" i="6" s="1"/>
  <c r="E263" i="6"/>
  <c r="F263" i="6" s="1"/>
  <c r="E264" i="6"/>
  <c r="F264" i="6" s="1"/>
  <c r="E265" i="6"/>
  <c r="F265" i="6" s="1"/>
  <c r="E266" i="6"/>
  <c r="F266" i="6" s="1"/>
  <c r="E267" i="6"/>
  <c r="F267" i="6" s="1"/>
  <c r="E268" i="6"/>
  <c r="F268" i="6" s="1"/>
  <c r="E269" i="6"/>
  <c r="F269" i="6" s="1"/>
  <c r="E270" i="6"/>
  <c r="F270" i="6" s="1"/>
  <c r="E271" i="6"/>
  <c r="F271" i="6" s="1"/>
  <c r="E272" i="6"/>
  <c r="F272" i="6" s="1"/>
  <c r="E273" i="6"/>
  <c r="F273" i="6" s="1"/>
  <c r="E274" i="6"/>
  <c r="F274" i="6" s="1"/>
  <c r="E275" i="6"/>
  <c r="F275" i="6" s="1"/>
  <c r="E276" i="6"/>
  <c r="F276" i="6" s="1"/>
  <c r="E277" i="6"/>
  <c r="F277" i="6" s="1"/>
  <c r="E278" i="6"/>
  <c r="F278" i="6" s="1"/>
  <c r="E279" i="6"/>
  <c r="F279" i="6" s="1"/>
  <c r="E280" i="6"/>
  <c r="F280" i="6" s="1"/>
  <c r="E281" i="6"/>
  <c r="F281" i="6" s="1"/>
  <c r="E282" i="6"/>
  <c r="F282" i="6" s="1"/>
  <c r="E283" i="6"/>
  <c r="F283" i="6" s="1"/>
  <c r="E284" i="6"/>
  <c r="F284" i="6" s="1"/>
  <c r="E285" i="6"/>
  <c r="F285" i="6" s="1"/>
  <c r="E286" i="6"/>
  <c r="F286" i="6" s="1"/>
  <c r="E287" i="6"/>
  <c r="F287" i="6" s="1"/>
  <c r="E288" i="6"/>
  <c r="F288" i="6" s="1"/>
  <c r="E289" i="6"/>
  <c r="F289" i="6" s="1"/>
  <c r="E290" i="6"/>
  <c r="F290" i="6" s="1"/>
  <c r="E291" i="6"/>
  <c r="F291" i="6" s="1"/>
  <c r="E292" i="6"/>
  <c r="F292" i="6" s="1"/>
  <c r="E293" i="6"/>
  <c r="F293" i="6" s="1"/>
  <c r="E294" i="6"/>
  <c r="F294" i="6" s="1"/>
  <c r="E295" i="6"/>
  <c r="F295" i="6" s="1"/>
  <c r="E296" i="6"/>
  <c r="F296" i="6" s="1"/>
  <c r="E297" i="6"/>
  <c r="F297" i="6" s="1"/>
  <c r="E298" i="6"/>
  <c r="F298" i="6" s="1"/>
  <c r="E299" i="6"/>
  <c r="F299" i="6" s="1"/>
  <c r="E300" i="6"/>
  <c r="F300" i="6" s="1"/>
  <c r="E301" i="6"/>
  <c r="F301" i="6" s="1"/>
  <c r="E302" i="6"/>
  <c r="F302" i="6" s="1"/>
  <c r="E303" i="6"/>
  <c r="F303" i="6" s="1"/>
  <c r="E304" i="6"/>
  <c r="F304" i="6" s="1"/>
  <c r="E305" i="6"/>
  <c r="F305" i="6" s="1"/>
  <c r="E306" i="6"/>
  <c r="F306" i="6" s="1"/>
  <c r="E307" i="6"/>
  <c r="F307" i="6" s="1"/>
  <c r="E308" i="6"/>
  <c r="F308" i="6" s="1"/>
  <c r="E309" i="6"/>
  <c r="F309" i="6" s="1"/>
  <c r="E310" i="6"/>
  <c r="F310" i="6" s="1"/>
  <c r="E311" i="6"/>
  <c r="F311" i="6" s="1"/>
  <c r="E312" i="6"/>
  <c r="F312" i="6" s="1"/>
  <c r="E313" i="6"/>
  <c r="F313" i="6" s="1"/>
  <c r="E314" i="6"/>
  <c r="F314" i="6" s="1"/>
  <c r="E315" i="6"/>
  <c r="F315" i="6" s="1"/>
  <c r="E316" i="6"/>
  <c r="F316" i="6" s="1"/>
  <c r="E317" i="6"/>
  <c r="F317" i="6" s="1"/>
  <c r="E318" i="6"/>
  <c r="F318" i="6" s="1"/>
  <c r="E319" i="6"/>
  <c r="F319" i="6" s="1"/>
  <c r="E320" i="6"/>
  <c r="F320" i="6" s="1"/>
  <c r="E321" i="6"/>
  <c r="F321" i="6" s="1"/>
  <c r="E322" i="6"/>
  <c r="F322" i="6" s="1"/>
  <c r="E323" i="6"/>
  <c r="F323" i="6" s="1"/>
  <c r="E324" i="6"/>
  <c r="F324" i="6" s="1"/>
  <c r="E325" i="6"/>
  <c r="F325" i="6" s="1"/>
  <c r="E326" i="6"/>
  <c r="F326" i="6" s="1"/>
  <c r="E327" i="6"/>
  <c r="F327" i="6" s="1"/>
  <c r="E328" i="6"/>
  <c r="F328" i="6" s="1"/>
  <c r="E329" i="6"/>
  <c r="F329" i="6" s="1"/>
  <c r="E330" i="6"/>
  <c r="F330" i="6" s="1"/>
  <c r="E331" i="6"/>
  <c r="F331" i="6" s="1"/>
  <c r="E332" i="6"/>
  <c r="F332" i="6" s="1"/>
  <c r="E333" i="6"/>
  <c r="F333" i="6" s="1"/>
  <c r="E334" i="6"/>
  <c r="F334" i="6" s="1"/>
  <c r="E335" i="6"/>
  <c r="F335" i="6" s="1"/>
  <c r="E336" i="6"/>
  <c r="F336" i="6" s="1"/>
  <c r="E337" i="6"/>
  <c r="F337" i="6" s="1"/>
  <c r="E338" i="6"/>
  <c r="F338" i="6" s="1"/>
  <c r="E339" i="6"/>
  <c r="F339" i="6" s="1"/>
  <c r="E340" i="6"/>
  <c r="F340" i="6" s="1"/>
  <c r="E341" i="6"/>
  <c r="F341" i="6" s="1"/>
  <c r="E342" i="6"/>
  <c r="F342" i="6" s="1"/>
  <c r="E343" i="6"/>
  <c r="F343" i="6" s="1"/>
  <c r="E344" i="6"/>
  <c r="F344" i="6" s="1"/>
  <c r="E345" i="6"/>
  <c r="F345" i="6" s="1"/>
  <c r="E346" i="6"/>
  <c r="F346" i="6" s="1"/>
  <c r="E347" i="6"/>
  <c r="F347" i="6" s="1"/>
  <c r="E348" i="6"/>
  <c r="F348" i="6" s="1"/>
  <c r="E349" i="6"/>
  <c r="F349" i="6" s="1"/>
  <c r="E350" i="6"/>
  <c r="F350" i="6" s="1"/>
  <c r="E351" i="6"/>
  <c r="F351" i="6" s="1"/>
  <c r="E352" i="6"/>
  <c r="F352" i="6" s="1"/>
  <c r="E353" i="6"/>
  <c r="F353" i="6" s="1"/>
  <c r="E354" i="6"/>
  <c r="F354" i="6" s="1"/>
  <c r="E355" i="6"/>
  <c r="F355" i="6" s="1"/>
  <c r="E356" i="6"/>
  <c r="F356" i="6" s="1"/>
  <c r="E357" i="6"/>
  <c r="F357" i="6" s="1"/>
  <c r="E358" i="6"/>
  <c r="F358" i="6" s="1"/>
  <c r="E359" i="6"/>
  <c r="F359" i="6" s="1"/>
  <c r="E360" i="6"/>
  <c r="F360" i="6" s="1"/>
  <c r="E361" i="6"/>
  <c r="F361" i="6" s="1"/>
  <c r="E362" i="6"/>
  <c r="F362" i="6" s="1"/>
  <c r="E363" i="6"/>
  <c r="F363" i="6" s="1"/>
  <c r="E364" i="6"/>
  <c r="F364" i="6" s="1"/>
  <c r="E365" i="6"/>
  <c r="F365" i="6" s="1"/>
  <c r="E366" i="6"/>
  <c r="F366" i="6" s="1"/>
  <c r="E367" i="6"/>
  <c r="F367" i="6" s="1"/>
  <c r="E368" i="6"/>
  <c r="F368" i="6" s="1"/>
  <c r="E369" i="6"/>
  <c r="F369" i="6" s="1"/>
  <c r="E370" i="6"/>
  <c r="F370" i="6" s="1"/>
  <c r="E371" i="6"/>
  <c r="F371" i="6" s="1"/>
  <c r="E372" i="6"/>
  <c r="F372" i="6" s="1"/>
  <c r="E373" i="6"/>
  <c r="F373" i="6" s="1"/>
  <c r="E374" i="6"/>
  <c r="F374" i="6" s="1"/>
  <c r="E375" i="6"/>
  <c r="F375" i="6" s="1"/>
  <c r="E376" i="6"/>
  <c r="F376" i="6" s="1"/>
  <c r="E377" i="6"/>
  <c r="F377" i="6" s="1"/>
  <c r="E378" i="6"/>
  <c r="F378" i="6" s="1"/>
  <c r="E379" i="6"/>
  <c r="F379" i="6" s="1"/>
  <c r="E380" i="6"/>
  <c r="F380" i="6" s="1"/>
  <c r="E381" i="6"/>
  <c r="F381" i="6" s="1"/>
  <c r="E382" i="6"/>
  <c r="F382" i="6" s="1"/>
  <c r="E383" i="6"/>
  <c r="F383" i="6" s="1"/>
  <c r="E384" i="6"/>
  <c r="F384" i="6" s="1"/>
  <c r="E385" i="6"/>
  <c r="F385" i="6" s="1"/>
  <c r="E386" i="6"/>
  <c r="F386" i="6" s="1"/>
  <c r="E387" i="6"/>
  <c r="F387" i="6" s="1"/>
  <c r="E388" i="6"/>
  <c r="F388" i="6" s="1"/>
  <c r="E389" i="6"/>
  <c r="F389" i="6" s="1"/>
  <c r="E390" i="6"/>
  <c r="F390" i="6" s="1"/>
  <c r="E391" i="6"/>
  <c r="F391" i="6" s="1"/>
  <c r="E392" i="6"/>
  <c r="F392" i="6" s="1"/>
  <c r="E393" i="6"/>
  <c r="F393" i="6" s="1"/>
  <c r="E394" i="6"/>
  <c r="F394" i="6" s="1"/>
  <c r="E395" i="6"/>
  <c r="F395" i="6" s="1"/>
  <c r="E396" i="6"/>
  <c r="F396" i="6" s="1"/>
  <c r="E397" i="6"/>
  <c r="F397" i="6" s="1"/>
  <c r="E398" i="6"/>
  <c r="F398" i="6" s="1"/>
  <c r="E399" i="6"/>
  <c r="F399" i="6" s="1"/>
  <c r="E400" i="6"/>
  <c r="F400" i="6" s="1"/>
  <c r="E401" i="6"/>
  <c r="F401" i="6" s="1"/>
  <c r="E402" i="6"/>
  <c r="F402" i="6" s="1"/>
  <c r="E403" i="6"/>
  <c r="F403" i="6" s="1"/>
  <c r="E404" i="6"/>
  <c r="F404" i="6" s="1"/>
  <c r="E405" i="6"/>
  <c r="F405" i="6" s="1"/>
  <c r="E406" i="6"/>
  <c r="F406" i="6" s="1"/>
  <c r="E407" i="6"/>
  <c r="F407" i="6" s="1"/>
  <c r="E408" i="6"/>
  <c r="F408" i="6" s="1"/>
  <c r="E409" i="6"/>
  <c r="F409" i="6" s="1"/>
  <c r="E410" i="6"/>
  <c r="F410" i="6" s="1"/>
  <c r="E411" i="6"/>
  <c r="F411" i="6" s="1"/>
  <c r="E412" i="6"/>
  <c r="F412" i="6" s="1"/>
  <c r="E413" i="6"/>
  <c r="F413" i="6" s="1"/>
  <c r="E414" i="6"/>
  <c r="F414" i="6" s="1"/>
  <c r="E415" i="6"/>
  <c r="F415" i="6" s="1"/>
  <c r="E416" i="6"/>
  <c r="F416" i="6" s="1"/>
  <c r="E417" i="6"/>
  <c r="F417" i="6" s="1"/>
  <c r="E418" i="6"/>
  <c r="F418" i="6" s="1"/>
  <c r="E419" i="6"/>
  <c r="F419" i="6" s="1"/>
  <c r="E420" i="6"/>
  <c r="F420" i="6" s="1"/>
  <c r="E421" i="6"/>
  <c r="F421" i="6" s="1"/>
  <c r="E2" i="6"/>
  <c r="F2" i="6" s="1"/>
  <c r="T568" i="2" l="1"/>
  <c r="U568" i="2" s="1"/>
  <c r="T561" i="2"/>
  <c r="U561" i="2" s="1"/>
  <c r="V553" i="2"/>
  <c r="W553" i="2" s="1"/>
  <c r="V546" i="2"/>
  <c r="W546" i="2" s="1"/>
  <c r="T539" i="2"/>
  <c r="U539" i="2" s="1"/>
  <c r="T532" i="2"/>
  <c r="U532" i="2" s="1"/>
  <c r="T525" i="2"/>
  <c r="U525" i="2" s="1"/>
  <c r="T518" i="2"/>
  <c r="U518" i="2" s="1"/>
  <c r="V503" i="2"/>
  <c r="W503" i="2" s="1"/>
  <c r="V496" i="2"/>
  <c r="W496" i="2" s="1"/>
  <c r="V489" i="2"/>
  <c r="W489" i="2" s="1"/>
  <c r="V482" i="2"/>
  <c r="W482" i="2" s="1"/>
  <c r="V599" i="2"/>
  <c r="W599" i="2" s="1"/>
  <c r="T475" i="2"/>
  <c r="U475" i="2" s="1"/>
  <c r="V591" i="2"/>
  <c r="W591" i="2" s="1"/>
  <c r="T468" i="2"/>
  <c r="U468" i="2" s="1"/>
  <c r="V583" i="2"/>
  <c r="W583" i="2" s="1"/>
  <c r="T461" i="2"/>
  <c r="U461" i="2" s="1"/>
  <c r="V575" i="2"/>
  <c r="W575" i="2" s="1"/>
  <c r="T454" i="2"/>
  <c r="U454" i="2" s="1"/>
  <c r="V567" i="2"/>
  <c r="W567" i="2" s="1"/>
  <c r="V560" i="2"/>
  <c r="W560" i="2" s="1"/>
  <c r="V531" i="2"/>
  <c r="W531" i="2" s="1"/>
  <c r="V524" i="2"/>
  <c r="W524" i="2" s="1"/>
  <c r="V517" i="2"/>
  <c r="W517" i="2" s="1"/>
  <c r="V510" i="2"/>
  <c r="W510" i="2" s="1"/>
  <c r="V467" i="2"/>
  <c r="W467" i="2" s="1"/>
  <c r="V460" i="2"/>
  <c r="W460" i="2" s="1"/>
  <c r="V453" i="2"/>
  <c r="W453" i="2" s="1"/>
  <c r="V598" i="2"/>
  <c r="W598" i="2" s="1"/>
  <c r="V590" i="2"/>
  <c r="W590" i="2" s="1"/>
  <c r="V582" i="2"/>
  <c r="W582" i="2" s="1"/>
  <c r="V574" i="2"/>
  <c r="W574" i="2" s="1"/>
  <c r="V552" i="2"/>
  <c r="W552" i="2" s="1"/>
  <c r="V545" i="2"/>
  <c r="W545" i="2" s="1"/>
  <c r="V538" i="2"/>
  <c r="W538" i="2" s="1"/>
  <c r="V495" i="2"/>
  <c r="W495" i="2" s="1"/>
  <c r="V488" i="2"/>
  <c r="W488" i="2" s="1"/>
  <c r="V481" i="2"/>
  <c r="W481" i="2" s="1"/>
  <c r="V474" i="2"/>
  <c r="W474" i="2" s="1"/>
  <c r="V559" i="2"/>
  <c r="W559" i="2" s="1"/>
  <c r="V523" i="2"/>
  <c r="W523" i="2" s="1"/>
  <c r="V516" i="2"/>
  <c r="W516" i="2" s="1"/>
  <c r="V509" i="2"/>
  <c r="W509" i="2" s="1"/>
  <c r="V502" i="2"/>
  <c r="W502" i="2" s="1"/>
  <c r="V459" i="2"/>
  <c r="W459" i="2" s="1"/>
  <c r="V452" i="2"/>
  <c r="W452" i="2" s="1"/>
  <c r="V597" i="2"/>
  <c r="W597" i="2" s="1"/>
  <c r="V589" i="2"/>
  <c r="W589" i="2" s="1"/>
  <c r="V581" i="2"/>
  <c r="W581" i="2" s="1"/>
  <c r="V573" i="2"/>
  <c r="W573" i="2" s="1"/>
  <c r="V566" i="2"/>
  <c r="W566" i="2" s="1"/>
  <c r="V551" i="2"/>
  <c r="W551" i="2" s="1"/>
  <c r="V544" i="2"/>
  <c r="W544" i="2" s="1"/>
  <c r="V537" i="2"/>
  <c r="W537" i="2" s="1"/>
  <c r="V530" i="2"/>
  <c r="W530" i="2" s="1"/>
  <c r="V487" i="2"/>
  <c r="W487" i="2" s="1"/>
  <c r="V480" i="2"/>
  <c r="W480" i="2" s="1"/>
  <c r="V473" i="2"/>
  <c r="W473" i="2" s="1"/>
  <c r="V466" i="2"/>
  <c r="W466" i="2" s="1"/>
  <c r="V558" i="2"/>
  <c r="W558" i="2" s="1"/>
  <c r="V515" i="2"/>
  <c r="W515" i="2" s="1"/>
  <c r="V508" i="2"/>
  <c r="W508" i="2" s="1"/>
  <c r="V501" i="2"/>
  <c r="W501" i="2" s="1"/>
  <c r="V494" i="2"/>
  <c r="W494" i="2" s="1"/>
  <c r="V451" i="2"/>
  <c r="W451" i="2" s="1"/>
  <c r="V596" i="2"/>
  <c r="W596" i="2" s="1"/>
  <c r="V588" i="2"/>
  <c r="W588" i="2" s="1"/>
  <c r="V580" i="2"/>
  <c r="W580" i="2" s="1"/>
  <c r="V572" i="2"/>
  <c r="W572" i="2" s="1"/>
  <c r="V565" i="2"/>
  <c r="W565" i="2" s="1"/>
  <c r="V543" i="2"/>
  <c r="W543" i="2" s="1"/>
  <c r="V536" i="2"/>
  <c r="W536" i="2" s="1"/>
  <c r="V529" i="2"/>
  <c r="W529" i="2" s="1"/>
  <c r="V522" i="2"/>
  <c r="W522" i="2" s="1"/>
  <c r="V479" i="2"/>
  <c r="W479" i="2" s="1"/>
  <c r="V472" i="2"/>
  <c r="W472" i="2" s="1"/>
  <c r="V465" i="2"/>
  <c r="W465" i="2" s="1"/>
  <c r="V458" i="2"/>
  <c r="W458" i="2" s="1"/>
  <c r="V557" i="2"/>
  <c r="W557" i="2" s="1"/>
  <c r="V550" i="2"/>
  <c r="W550" i="2" s="1"/>
  <c r="V507" i="2"/>
  <c r="W507" i="2" s="1"/>
  <c r="V500" i="2"/>
  <c r="W500" i="2" s="1"/>
  <c r="V493" i="2"/>
  <c r="W493" i="2" s="1"/>
  <c r="V486" i="2"/>
  <c r="W486" i="2" s="1"/>
  <c r="V595" i="2"/>
  <c r="W595" i="2" s="1"/>
  <c r="V587" i="2"/>
  <c r="W587" i="2" s="1"/>
  <c r="V579" i="2"/>
  <c r="W579" i="2" s="1"/>
  <c r="V571" i="2"/>
  <c r="W571" i="2" s="1"/>
  <c r="V564" i="2"/>
  <c r="W564" i="2" s="1"/>
  <c r="V535" i="2"/>
  <c r="W535" i="2" s="1"/>
  <c r="V528" i="2"/>
  <c r="W528" i="2" s="1"/>
  <c r="V521" i="2"/>
  <c r="W521" i="2" s="1"/>
  <c r="V514" i="2"/>
  <c r="W514" i="2" s="1"/>
  <c r="V471" i="2"/>
  <c r="W471" i="2" s="1"/>
  <c r="V464" i="2"/>
  <c r="W464" i="2" s="1"/>
  <c r="V457" i="2"/>
  <c r="W457" i="2" s="1"/>
  <c r="V450" i="2"/>
  <c r="W450" i="2" s="1"/>
  <c r="V556" i="2"/>
  <c r="W556" i="2" s="1"/>
  <c r="V549" i="2"/>
  <c r="W549" i="2" s="1"/>
  <c r="V542" i="2"/>
  <c r="W542" i="2" s="1"/>
  <c r="V499" i="2"/>
  <c r="W499" i="2" s="1"/>
  <c r="V492" i="2"/>
  <c r="W492" i="2" s="1"/>
  <c r="V485" i="2"/>
  <c r="W485" i="2" s="1"/>
  <c r="V478" i="2"/>
  <c r="W478" i="2" s="1"/>
  <c r="V594" i="2"/>
  <c r="W594" i="2" s="1"/>
  <c r="V586" i="2"/>
  <c r="W586" i="2" s="1"/>
  <c r="V578" i="2"/>
  <c r="W578" i="2" s="1"/>
  <c r="V563" i="2"/>
  <c r="W563" i="2" s="1"/>
  <c r="V527" i="2"/>
  <c r="W527" i="2" s="1"/>
  <c r="V520" i="2"/>
  <c r="W520" i="2" s="1"/>
  <c r="V513" i="2"/>
  <c r="W513" i="2" s="1"/>
  <c r="V506" i="2"/>
  <c r="W506" i="2" s="1"/>
  <c r="V463" i="2"/>
  <c r="W463" i="2" s="1"/>
  <c r="V456" i="2"/>
  <c r="W456" i="2" s="1"/>
  <c r="V449" i="2"/>
  <c r="W449" i="2" s="1"/>
  <c r="V570" i="2"/>
  <c r="W570" i="2" s="1"/>
  <c r="V555" i="2"/>
  <c r="W555" i="2" s="1"/>
  <c r="V548" i="2"/>
  <c r="W548" i="2" s="1"/>
  <c r="V541" i="2"/>
  <c r="W541" i="2" s="1"/>
  <c r="V534" i="2"/>
  <c r="W534" i="2" s="1"/>
  <c r="V491" i="2"/>
  <c r="W491" i="2" s="1"/>
  <c r="V484" i="2"/>
  <c r="W484" i="2" s="1"/>
  <c r="V477" i="2"/>
  <c r="W477" i="2" s="1"/>
  <c r="V470" i="2"/>
  <c r="W470" i="2" s="1"/>
  <c r="V601" i="2"/>
  <c r="W601" i="2" s="1"/>
  <c r="V593" i="2"/>
  <c r="W593" i="2" s="1"/>
  <c r="V585" i="2"/>
  <c r="W585" i="2" s="1"/>
  <c r="V577" i="2"/>
  <c r="W577" i="2" s="1"/>
  <c r="V519" i="2"/>
  <c r="W519" i="2" s="1"/>
  <c r="V512" i="2"/>
  <c r="W512" i="2" s="1"/>
  <c r="V505" i="2"/>
  <c r="W505" i="2" s="1"/>
  <c r="V498" i="2"/>
  <c r="W498" i="2" s="1"/>
  <c r="V455" i="2"/>
  <c r="W455" i="2" s="1"/>
  <c r="V448" i="2"/>
  <c r="W448" i="2" s="1"/>
  <c r="V569" i="2"/>
  <c r="W569" i="2" s="1"/>
  <c r="V562" i="2"/>
  <c r="W562" i="2" s="1"/>
  <c r="V547" i="2"/>
  <c r="W547" i="2" s="1"/>
  <c r="V540" i="2"/>
  <c r="W540" i="2" s="1"/>
  <c r="V533" i="2"/>
  <c r="W533" i="2" s="1"/>
  <c r="V526" i="2"/>
  <c r="W526" i="2" s="1"/>
  <c r="V483" i="2"/>
  <c r="W483" i="2" s="1"/>
  <c r="V476" i="2"/>
  <c r="W476" i="2" s="1"/>
  <c r="V469" i="2"/>
  <c r="W469" i="2" s="1"/>
  <c r="V462" i="2"/>
  <c r="W462" i="2" s="1"/>
  <c r="V600" i="2"/>
  <c r="W600" i="2" s="1"/>
  <c r="V592" i="2"/>
  <c r="W592" i="2" s="1"/>
  <c r="V584" i="2"/>
  <c r="W584" i="2" s="1"/>
  <c r="V576" i="2"/>
  <c r="W576" i="2" s="1"/>
  <c r="V554" i="2"/>
  <c r="W554" i="2" s="1"/>
  <c r="V511" i="2"/>
  <c r="W511" i="2" s="1"/>
  <c r="V504" i="2"/>
  <c r="W504" i="2" s="1"/>
  <c r="V497" i="2"/>
  <c r="W497" i="2" s="1"/>
  <c r="V490" i="2"/>
  <c r="W490" i="2" s="1"/>
  <c r="V447" i="2"/>
  <c r="W447" i="2" s="1"/>
  <c r="V439" i="2"/>
  <c r="V423" i="2"/>
  <c r="V407" i="2"/>
  <c r="W407" i="2" s="1"/>
  <c r="V391" i="2"/>
  <c r="W391" i="2" s="1"/>
  <c r="V375" i="2"/>
  <c r="W375" i="2" s="1"/>
  <c r="V359" i="2"/>
  <c r="W359" i="2" s="1"/>
  <c r="V343" i="2"/>
  <c r="V327" i="2"/>
  <c r="V311" i="2"/>
  <c r="W311" i="2" s="1"/>
  <c r="V295" i="2"/>
  <c r="W295" i="2" s="1"/>
  <c r="V279" i="2"/>
  <c r="W279" i="2" s="1"/>
  <c r="V263" i="2"/>
  <c r="V247" i="2"/>
  <c r="W247" i="2" s="1"/>
  <c r="V231" i="2"/>
  <c r="V215" i="2"/>
  <c r="V199" i="2"/>
  <c r="V183" i="2"/>
  <c r="W183" i="2" s="1"/>
  <c r="V167" i="2"/>
  <c r="V151" i="2"/>
  <c r="W151" i="2" s="1"/>
  <c r="V135" i="2"/>
  <c r="W135" i="2" s="1"/>
  <c r="V119" i="2"/>
  <c r="V103" i="2"/>
  <c r="V87" i="2"/>
  <c r="V71" i="2"/>
  <c r="V55" i="2"/>
  <c r="W55" i="2" s="1"/>
  <c r="V39" i="2"/>
  <c r="W39" i="2" s="1"/>
  <c r="V392" i="2"/>
  <c r="W392" i="2" s="1"/>
  <c r="V248" i="2"/>
  <c r="W248" i="2" s="1"/>
  <c r="V136" i="2"/>
  <c r="V72" i="2"/>
  <c r="W72" i="2" s="1"/>
  <c r="V438" i="2"/>
  <c r="V422" i="2"/>
  <c r="V406" i="2"/>
  <c r="W406" i="2" s="1"/>
  <c r="V390" i="2"/>
  <c r="W390" i="2" s="1"/>
  <c r="V374" i="2"/>
  <c r="W374" i="2" s="1"/>
  <c r="V358" i="2"/>
  <c r="W358" i="2" s="1"/>
  <c r="V342" i="2"/>
  <c r="W342" i="2" s="1"/>
  <c r="V326" i="2"/>
  <c r="W326" i="2" s="1"/>
  <c r="V310" i="2"/>
  <c r="V294" i="2"/>
  <c r="W294" i="2" s="1"/>
  <c r="V278" i="2"/>
  <c r="W278" i="2" s="1"/>
  <c r="V262" i="2"/>
  <c r="W262" i="2" s="1"/>
  <c r="V246" i="2"/>
  <c r="W246" i="2" s="1"/>
  <c r="V230" i="2"/>
  <c r="V214" i="2"/>
  <c r="V198" i="2"/>
  <c r="V182" i="2"/>
  <c r="V166" i="2"/>
  <c r="W166" i="2" s="1"/>
  <c r="V150" i="2"/>
  <c r="W150" i="2" s="1"/>
  <c r="V134" i="2"/>
  <c r="W134" i="2" s="1"/>
  <c r="V118" i="2"/>
  <c r="V102" i="2"/>
  <c r="W102" i="2" s="1"/>
  <c r="V86" i="2"/>
  <c r="W86" i="2" s="1"/>
  <c r="V70" i="2"/>
  <c r="V54" i="2"/>
  <c r="W54" i="2" s="1"/>
  <c r="V38" i="2"/>
  <c r="V408" i="2"/>
  <c r="W408" i="2" s="1"/>
  <c r="V264" i="2"/>
  <c r="W264" i="2" s="1"/>
  <c r="V152" i="2"/>
  <c r="W152" i="2" s="1"/>
  <c r="V40" i="2"/>
  <c r="V437" i="2"/>
  <c r="V421" i="2"/>
  <c r="V405" i="2"/>
  <c r="V389" i="2"/>
  <c r="V373" i="2"/>
  <c r="W373" i="2" s="1"/>
  <c r="V357" i="2"/>
  <c r="W357" i="2" s="1"/>
  <c r="V341" i="2"/>
  <c r="V325" i="2"/>
  <c r="W325" i="2" s="1"/>
  <c r="V309" i="2"/>
  <c r="W309" i="2" s="1"/>
  <c r="V293" i="2"/>
  <c r="W293" i="2" s="1"/>
  <c r="V277" i="2"/>
  <c r="W277" i="2" s="1"/>
  <c r="V261" i="2"/>
  <c r="W261" i="2" s="1"/>
  <c r="V245" i="2"/>
  <c r="W245" i="2" s="1"/>
  <c r="V229" i="2"/>
  <c r="W229" i="2" s="1"/>
  <c r="V213" i="2"/>
  <c r="W213" i="2" s="1"/>
  <c r="V197" i="2"/>
  <c r="V181" i="2"/>
  <c r="V165" i="2"/>
  <c r="W165" i="2" s="1"/>
  <c r="V149" i="2"/>
  <c r="V133" i="2"/>
  <c r="W133" i="2" s="1"/>
  <c r="V117" i="2"/>
  <c r="V101" i="2"/>
  <c r="W101" i="2" s="1"/>
  <c r="V85" i="2"/>
  <c r="W85" i="2" s="1"/>
  <c r="V69" i="2"/>
  <c r="V53" i="2"/>
  <c r="V37" i="2"/>
  <c r="V296" i="2"/>
  <c r="W296" i="2" s="1"/>
  <c r="V436" i="2"/>
  <c r="W436" i="2" s="1"/>
  <c r="V420" i="2"/>
  <c r="W420" i="2" s="1"/>
  <c r="V404" i="2"/>
  <c r="W404" i="2" s="1"/>
  <c r="V388" i="2"/>
  <c r="W388" i="2" s="1"/>
  <c r="V372" i="2"/>
  <c r="V356" i="2"/>
  <c r="V340" i="2"/>
  <c r="W340" i="2" s="1"/>
  <c r="V324" i="2"/>
  <c r="W324" i="2" s="1"/>
  <c r="V308" i="2"/>
  <c r="W308" i="2" s="1"/>
  <c r="V292" i="2"/>
  <c r="V276" i="2"/>
  <c r="V260" i="2"/>
  <c r="W260" i="2" s="1"/>
  <c r="V244" i="2"/>
  <c r="W244" i="2" s="1"/>
  <c r="V228" i="2"/>
  <c r="W228" i="2" s="1"/>
  <c r="V212" i="2"/>
  <c r="V196" i="2"/>
  <c r="W196" i="2" s="1"/>
  <c r="V180" i="2"/>
  <c r="W180" i="2" s="1"/>
  <c r="V164" i="2"/>
  <c r="W164" i="2" s="1"/>
  <c r="V148" i="2"/>
  <c r="W148" i="2" s="1"/>
  <c r="V132" i="2"/>
  <c r="W132" i="2" s="1"/>
  <c r="V116" i="2"/>
  <c r="V100" i="2"/>
  <c r="V84" i="2"/>
  <c r="V68" i="2"/>
  <c r="W68" i="2" s="1"/>
  <c r="V52" i="2"/>
  <c r="V36" i="2"/>
  <c r="W36" i="2" s="1"/>
  <c r="V200" i="2"/>
  <c r="V435" i="2"/>
  <c r="V419" i="2"/>
  <c r="W419" i="2" s="1"/>
  <c r="V403" i="2"/>
  <c r="W403" i="2" s="1"/>
  <c r="V387" i="2"/>
  <c r="W387" i="2" s="1"/>
  <c r="V371" i="2"/>
  <c r="W371" i="2" s="1"/>
  <c r="V355" i="2"/>
  <c r="W355" i="2" s="1"/>
  <c r="V339" i="2"/>
  <c r="W339" i="2" s="1"/>
  <c r="V323" i="2"/>
  <c r="W323" i="2" s="1"/>
  <c r="V307" i="2"/>
  <c r="W307" i="2" s="1"/>
  <c r="V291" i="2"/>
  <c r="V275" i="2"/>
  <c r="V259" i="2"/>
  <c r="V243" i="2"/>
  <c r="W243" i="2" s="1"/>
  <c r="V227" i="2"/>
  <c r="W227" i="2" s="1"/>
  <c r="V211" i="2"/>
  <c r="W211" i="2" s="1"/>
  <c r="V195" i="2"/>
  <c r="W195" i="2" s="1"/>
  <c r="V179" i="2"/>
  <c r="V163" i="2"/>
  <c r="W163" i="2" s="1"/>
  <c r="V147" i="2"/>
  <c r="W147" i="2" s="1"/>
  <c r="V131" i="2"/>
  <c r="V115" i="2"/>
  <c r="W115" i="2" s="1"/>
  <c r="V99" i="2"/>
  <c r="W99" i="2" s="1"/>
  <c r="V83" i="2"/>
  <c r="W83" i="2" s="1"/>
  <c r="V67" i="2"/>
  <c r="W67" i="2" s="1"/>
  <c r="V51" i="2"/>
  <c r="W51" i="2" s="1"/>
  <c r="V35" i="2"/>
  <c r="V360" i="2"/>
  <c r="V184" i="2"/>
  <c r="W184" i="2" s="1"/>
  <c r="V434" i="2"/>
  <c r="V418" i="2"/>
  <c r="V402" i="2"/>
  <c r="W402" i="2" s="1"/>
  <c r="V386" i="2"/>
  <c r="W386" i="2" s="1"/>
  <c r="V370" i="2"/>
  <c r="W370" i="2" s="1"/>
  <c r="V354" i="2"/>
  <c r="W354" i="2" s="1"/>
  <c r="V338" i="2"/>
  <c r="W338" i="2" s="1"/>
  <c r="V322" i="2"/>
  <c r="V306" i="2"/>
  <c r="W306" i="2" s="1"/>
  <c r="V290" i="2"/>
  <c r="W290" i="2" s="1"/>
  <c r="V274" i="2"/>
  <c r="W274" i="2" s="1"/>
  <c r="V258" i="2"/>
  <c r="W258" i="2" s="1"/>
  <c r="V242" i="2"/>
  <c r="W242" i="2" s="1"/>
  <c r="V226" i="2"/>
  <c r="V210" i="2"/>
  <c r="V194" i="2"/>
  <c r="V178" i="2"/>
  <c r="W178" i="2" s="1"/>
  <c r="V162" i="2"/>
  <c r="V146" i="2"/>
  <c r="W146" i="2" s="1"/>
  <c r="V130" i="2"/>
  <c r="W130" i="2" s="1"/>
  <c r="V114" i="2"/>
  <c r="V98" i="2"/>
  <c r="W98" i="2" s="1"/>
  <c r="V82" i="2"/>
  <c r="W82" i="2" s="1"/>
  <c r="V66" i="2"/>
  <c r="V50" i="2"/>
  <c r="V34" i="2"/>
  <c r="W34" i="2" s="1"/>
  <c r="V440" i="2"/>
  <c r="W440" i="2" s="1"/>
  <c r="V328" i="2"/>
  <c r="W328" i="2" s="1"/>
  <c r="V216" i="2"/>
  <c r="W216" i="2" s="1"/>
  <c r="V104" i="2"/>
  <c r="V56" i="2"/>
  <c r="V433" i="2"/>
  <c r="V417" i="2"/>
  <c r="V401" i="2"/>
  <c r="V385" i="2"/>
  <c r="W385" i="2" s="1"/>
  <c r="V369" i="2"/>
  <c r="W369" i="2" s="1"/>
  <c r="V353" i="2"/>
  <c r="W353" i="2" s="1"/>
  <c r="V337" i="2"/>
  <c r="W337" i="2" s="1"/>
  <c r="V321" i="2"/>
  <c r="W321" i="2" s="1"/>
  <c r="V305" i="2"/>
  <c r="V289" i="2"/>
  <c r="W289" i="2" s="1"/>
  <c r="V273" i="2"/>
  <c r="W273" i="2" s="1"/>
  <c r="V257" i="2"/>
  <c r="W257" i="2" s="1"/>
  <c r="V241" i="2"/>
  <c r="W241" i="2" s="1"/>
  <c r="V225" i="2"/>
  <c r="W225" i="2" s="1"/>
  <c r="V209" i="2"/>
  <c r="V193" i="2"/>
  <c r="V177" i="2"/>
  <c r="V161" i="2"/>
  <c r="V145" i="2"/>
  <c r="W145" i="2" s="1"/>
  <c r="V129" i="2"/>
  <c r="V113" i="2"/>
  <c r="W113" i="2" s="1"/>
  <c r="V97" i="2"/>
  <c r="W97" i="2" s="1"/>
  <c r="V81" i="2"/>
  <c r="V65" i="2"/>
  <c r="W65" i="2" s="1"/>
  <c r="V49" i="2"/>
  <c r="W49" i="2" s="1"/>
  <c r="V33" i="2"/>
  <c r="W33" i="2" s="1"/>
  <c r="V232" i="2"/>
  <c r="W232" i="2" s="1"/>
  <c r="V432" i="2"/>
  <c r="W432" i="2" s="1"/>
  <c r="V416" i="2"/>
  <c r="W416" i="2" s="1"/>
  <c r="V400" i="2"/>
  <c r="W400" i="2" s="1"/>
  <c r="V384" i="2"/>
  <c r="W384" i="2" s="1"/>
  <c r="V368" i="2"/>
  <c r="V352" i="2"/>
  <c r="V336" i="2"/>
  <c r="V320" i="2"/>
  <c r="V304" i="2"/>
  <c r="W304" i="2" s="1"/>
  <c r="V288" i="2"/>
  <c r="W288" i="2" s="1"/>
  <c r="V272" i="2"/>
  <c r="W272" i="2" s="1"/>
  <c r="V256" i="2"/>
  <c r="W256" i="2" s="1"/>
  <c r="V240" i="2"/>
  <c r="W240" i="2" s="1"/>
  <c r="V224" i="2"/>
  <c r="V208" i="2"/>
  <c r="W208" i="2" s="1"/>
  <c r="V192" i="2"/>
  <c r="W192" i="2" s="1"/>
  <c r="V176" i="2"/>
  <c r="W176" i="2" s="1"/>
  <c r="V160" i="2"/>
  <c r="W160" i="2" s="1"/>
  <c r="V144" i="2"/>
  <c r="W144" i="2" s="1"/>
  <c r="V128" i="2"/>
  <c r="V112" i="2"/>
  <c r="V96" i="2"/>
  <c r="W96" i="2" s="1"/>
  <c r="V80" i="2"/>
  <c r="W80" i="2" s="1"/>
  <c r="V64" i="2"/>
  <c r="W64" i="2" s="1"/>
  <c r="V48" i="2"/>
  <c r="W48" i="2" s="1"/>
  <c r="V32" i="2"/>
  <c r="W32" i="2" s="1"/>
  <c r="V88" i="2"/>
  <c r="W88" i="2" s="1"/>
  <c r="V431" i="2"/>
  <c r="W431" i="2" s="1"/>
  <c r="V415" i="2"/>
  <c r="W415" i="2" s="1"/>
  <c r="V399" i="2"/>
  <c r="W399" i="2" s="1"/>
  <c r="V383" i="2"/>
  <c r="W383" i="2" s="1"/>
  <c r="V367" i="2"/>
  <c r="W367" i="2" s="1"/>
  <c r="V351" i="2"/>
  <c r="W351" i="2" s="1"/>
  <c r="V335" i="2"/>
  <c r="W335" i="2" s="1"/>
  <c r="V319" i="2"/>
  <c r="W319" i="2" s="1"/>
  <c r="V303" i="2"/>
  <c r="V287" i="2"/>
  <c r="W287" i="2" s="1"/>
  <c r="V271" i="2"/>
  <c r="V255" i="2"/>
  <c r="V239" i="2"/>
  <c r="W239" i="2" s="1"/>
  <c r="V223" i="2"/>
  <c r="W223" i="2" s="1"/>
  <c r="V207" i="2"/>
  <c r="W207" i="2" s="1"/>
  <c r="V191" i="2"/>
  <c r="W191" i="2" s="1"/>
  <c r="V175" i="2"/>
  <c r="W175" i="2" s="1"/>
  <c r="V159" i="2"/>
  <c r="W159" i="2" s="1"/>
  <c r="V143" i="2"/>
  <c r="W143" i="2" s="1"/>
  <c r="V127" i="2"/>
  <c r="W127" i="2" s="1"/>
  <c r="V111" i="2"/>
  <c r="W111" i="2" s="1"/>
  <c r="V95" i="2"/>
  <c r="W95" i="2" s="1"/>
  <c r="V79" i="2"/>
  <c r="W79" i="2" s="1"/>
  <c r="V63" i="2"/>
  <c r="W63" i="2" s="1"/>
  <c r="V47" i="2"/>
  <c r="W47" i="2" s="1"/>
  <c r="V31" i="2"/>
  <c r="W31" i="2" s="1"/>
  <c r="V312" i="2"/>
  <c r="W312" i="2" s="1"/>
  <c r="V446" i="2"/>
  <c r="W446" i="2" s="1"/>
  <c r="V430" i="2"/>
  <c r="W430" i="2" s="1"/>
  <c r="V414" i="2"/>
  <c r="W414" i="2" s="1"/>
  <c r="V398" i="2"/>
  <c r="W398" i="2" s="1"/>
  <c r="V382" i="2"/>
  <c r="W382" i="2" s="1"/>
  <c r="V366" i="2"/>
  <c r="W366" i="2" s="1"/>
  <c r="V350" i="2"/>
  <c r="W350" i="2" s="1"/>
  <c r="V334" i="2"/>
  <c r="W334" i="2" s="1"/>
  <c r="V318" i="2"/>
  <c r="W318" i="2" s="1"/>
  <c r="V302" i="2"/>
  <c r="W302" i="2" s="1"/>
  <c r="V286" i="2"/>
  <c r="W286" i="2" s="1"/>
  <c r="V270" i="2"/>
  <c r="W270" i="2" s="1"/>
  <c r="V254" i="2"/>
  <c r="W254" i="2" s="1"/>
  <c r="V238" i="2"/>
  <c r="W238" i="2" s="1"/>
  <c r="V222" i="2"/>
  <c r="W222" i="2" s="1"/>
  <c r="V206" i="2"/>
  <c r="W206" i="2" s="1"/>
  <c r="V190" i="2"/>
  <c r="W190" i="2" s="1"/>
  <c r="V174" i="2"/>
  <c r="W174" i="2" s="1"/>
  <c r="V158" i="2"/>
  <c r="W158" i="2" s="1"/>
  <c r="V142" i="2"/>
  <c r="W142" i="2" s="1"/>
  <c r="V126" i="2"/>
  <c r="W126" i="2" s="1"/>
  <c r="V110" i="2"/>
  <c r="W110" i="2" s="1"/>
  <c r="V94" i="2"/>
  <c r="W94" i="2" s="1"/>
  <c r="V78" i="2"/>
  <c r="W78" i="2" s="1"/>
  <c r="V62" i="2"/>
  <c r="W62" i="2" s="1"/>
  <c r="V46" i="2"/>
  <c r="W46" i="2" s="1"/>
  <c r="V30" i="2"/>
  <c r="W30" i="2" s="1"/>
  <c r="V376" i="2"/>
  <c r="W376" i="2" s="1"/>
  <c r="V445" i="2"/>
  <c r="W445" i="2" s="1"/>
  <c r="V429" i="2"/>
  <c r="W429" i="2" s="1"/>
  <c r="V413" i="2"/>
  <c r="W413" i="2" s="1"/>
  <c r="V397" i="2"/>
  <c r="W397" i="2" s="1"/>
  <c r="V381" i="2"/>
  <c r="W381" i="2" s="1"/>
  <c r="V365" i="2"/>
  <c r="W365" i="2" s="1"/>
  <c r="V349" i="2"/>
  <c r="W349" i="2" s="1"/>
  <c r="V333" i="2"/>
  <c r="W333" i="2" s="1"/>
  <c r="V317" i="2"/>
  <c r="W317" i="2" s="1"/>
  <c r="V301" i="2"/>
  <c r="W301" i="2" s="1"/>
  <c r="V285" i="2"/>
  <c r="W285" i="2" s="1"/>
  <c r="V269" i="2"/>
  <c r="W269" i="2" s="1"/>
  <c r="V253" i="2"/>
  <c r="W253" i="2" s="1"/>
  <c r="V237" i="2"/>
  <c r="W237" i="2" s="1"/>
  <c r="V221" i="2"/>
  <c r="W221" i="2" s="1"/>
  <c r="V205" i="2"/>
  <c r="W205" i="2" s="1"/>
  <c r="V189" i="2"/>
  <c r="W189" i="2" s="1"/>
  <c r="V173" i="2"/>
  <c r="W173" i="2" s="1"/>
  <c r="V157" i="2"/>
  <c r="W157" i="2" s="1"/>
  <c r="V141" i="2"/>
  <c r="W141" i="2" s="1"/>
  <c r="V125" i="2"/>
  <c r="W125" i="2" s="1"/>
  <c r="V109" i="2"/>
  <c r="W109" i="2" s="1"/>
  <c r="V93" i="2"/>
  <c r="W93" i="2" s="1"/>
  <c r="V77" i="2"/>
  <c r="W77" i="2" s="1"/>
  <c r="V61" i="2"/>
  <c r="W61" i="2" s="1"/>
  <c r="V45" i="2"/>
  <c r="W45" i="2" s="1"/>
  <c r="V29" i="2"/>
  <c r="W29" i="2" s="1"/>
  <c r="V280" i="2"/>
  <c r="W280" i="2" s="1"/>
  <c r="V444" i="2"/>
  <c r="W444" i="2" s="1"/>
  <c r="V428" i="2"/>
  <c r="W428" i="2" s="1"/>
  <c r="V412" i="2"/>
  <c r="W412" i="2" s="1"/>
  <c r="V396" i="2"/>
  <c r="W396" i="2" s="1"/>
  <c r="V380" i="2"/>
  <c r="W380" i="2" s="1"/>
  <c r="V364" i="2"/>
  <c r="W364" i="2" s="1"/>
  <c r="V348" i="2"/>
  <c r="W348" i="2" s="1"/>
  <c r="V332" i="2"/>
  <c r="W332" i="2" s="1"/>
  <c r="V316" i="2"/>
  <c r="W316" i="2" s="1"/>
  <c r="V300" i="2"/>
  <c r="W300" i="2" s="1"/>
  <c r="V284" i="2"/>
  <c r="W284" i="2" s="1"/>
  <c r="V268" i="2"/>
  <c r="W268" i="2" s="1"/>
  <c r="V252" i="2"/>
  <c r="W252" i="2" s="1"/>
  <c r="V236" i="2"/>
  <c r="W236" i="2" s="1"/>
  <c r="V220" i="2"/>
  <c r="W220" i="2" s="1"/>
  <c r="V204" i="2"/>
  <c r="W204" i="2" s="1"/>
  <c r="V188" i="2"/>
  <c r="W188" i="2" s="1"/>
  <c r="V172" i="2"/>
  <c r="W172" i="2" s="1"/>
  <c r="V156" i="2"/>
  <c r="W156" i="2" s="1"/>
  <c r="V140" i="2"/>
  <c r="W140" i="2" s="1"/>
  <c r="V124" i="2"/>
  <c r="W124" i="2" s="1"/>
  <c r="V108" i="2"/>
  <c r="W108" i="2" s="1"/>
  <c r="V92" i="2"/>
  <c r="W92" i="2" s="1"/>
  <c r="V76" i="2"/>
  <c r="W76" i="2" s="1"/>
  <c r="V60" i="2"/>
  <c r="W60" i="2" s="1"/>
  <c r="V44" i="2"/>
  <c r="W44" i="2" s="1"/>
  <c r="V28" i="2"/>
  <c r="W28" i="2" s="1"/>
  <c r="T443" i="2"/>
  <c r="U443" i="2" s="1"/>
  <c r="T427" i="2"/>
  <c r="U427" i="2" s="1"/>
  <c r="T411" i="2"/>
  <c r="U411" i="2" s="1"/>
  <c r="T395" i="2"/>
  <c r="U395" i="2" s="1"/>
  <c r="T379" i="2"/>
  <c r="U379" i="2" s="1"/>
  <c r="T363" i="2"/>
  <c r="U363" i="2" s="1"/>
  <c r="T347" i="2"/>
  <c r="U347" i="2" s="1"/>
  <c r="T331" i="2"/>
  <c r="U331" i="2" s="1"/>
  <c r="T315" i="2"/>
  <c r="U315" i="2" s="1"/>
  <c r="T299" i="2"/>
  <c r="U299" i="2" s="1"/>
  <c r="T283" i="2"/>
  <c r="U283" i="2" s="1"/>
  <c r="T267" i="2"/>
  <c r="U267" i="2" s="1"/>
  <c r="T251" i="2"/>
  <c r="U251" i="2" s="1"/>
  <c r="T235" i="2"/>
  <c r="U235" i="2" s="1"/>
  <c r="T219" i="2"/>
  <c r="U219" i="2" s="1"/>
  <c r="T203" i="2"/>
  <c r="U203" i="2" s="1"/>
  <c r="T187" i="2"/>
  <c r="U187" i="2" s="1"/>
  <c r="T171" i="2"/>
  <c r="U171" i="2" s="1"/>
  <c r="T155" i="2"/>
  <c r="U155" i="2" s="1"/>
  <c r="T139" i="2"/>
  <c r="U139" i="2" s="1"/>
  <c r="T123" i="2"/>
  <c r="U123" i="2" s="1"/>
  <c r="T107" i="2"/>
  <c r="U107" i="2" s="1"/>
  <c r="T91" i="2"/>
  <c r="U91" i="2" s="1"/>
  <c r="T75" i="2"/>
  <c r="U75" i="2" s="1"/>
  <c r="T59" i="2"/>
  <c r="U59" i="2" s="1"/>
  <c r="T43" i="2"/>
  <c r="U43" i="2" s="1"/>
  <c r="V344" i="2"/>
  <c r="W344" i="2" s="1"/>
  <c r="V120" i="2"/>
  <c r="W120" i="2" s="1"/>
  <c r="V442" i="2"/>
  <c r="W442" i="2" s="1"/>
  <c r="V426" i="2"/>
  <c r="W426" i="2" s="1"/>
  <c r="V410" i="2"/>
  <c r="W410" i="2" s="1"/>
  <c r="T394" i="2"/>
  <c r="U394" i="2" s="1"/>
  <c r="V378" i="2"/>
  <c r="W378" i="2" s="1"/>
  <c r="V362" i="2"/>
  <c r="W362" i="2" s="1"/>
  <c r="V346" i="2"/>
  <c r="W346" i="2" s="1"/>
  <c r="V330" i="2"/>
  <c r="W330" i="2" s="1"/>
  <c r="V314" i="2"/>
  <c r="W314" i="2" s="1"/>
  <c r="V298" i="2"/>
  <c r="W298" i="2" s="1"/>
  <c r="V282" i="2"/>
  <c r="W282" i="2" s="1"/>
  <c r="T266" i="2"/>
  <c r="U266" i="2" s="1"/>
  <c r="V250" i="2"/>
  <c r="W250" i="2" s="1"/>
  <c r="V234" i="2"/>
  <c r="W234" i="2" s="1"/>
  <c r="V218" i="2"/>
  <c r="W218" i="2" s="1"/>
  <c r="V202" i="2"/>
  <c r="W202" i="2" s="1"/>
  <c r="V186" i="2"/>
  <c r="W186" i="2" s="1"/>
  <c r="V170" i="2"/>
  <c r="W170" i="2" s="1"/>
  <c r="V154" i="2"/>
  <c r="W154" i="2" s="1"/>
  <c r="T138" i="2"/>
  <c r="U138" i="2" s="1"/>
  <c r="V122" i="2"/>
  <c r="W122" i="2" s="1"/>
  <c r="V106" i="2"/>
  <c r="W106" i="2" s="1"/>
  <c r="V90" i="2"/>
  <c r="W90" i="2" s="1"/>
  <c r="V74" i="2"/>
  <c r="W74" i="2" s="1"/>
  <c r="V58" i="2"/>
  <c r="W58" i="2" s="1"/>
  <c r="V42" i="2"/>
  <c r="W42" i="2" s="1"/>
  <c r="V424" i="2"/>
  <c r="W424" i="2" s="1"/>
  <c r="V168" i="2"/>
  <c r="W168" i="2" s="1"/>
  <c r="V441" i="2"/>
  <c r="W441" i="2" s="1"/>
  <c r="V425" i="2"/>
  <c r="W425" i="2" s="1"/>
  <c r="V409" i="2"/>
  <c r="W409" i="2" s="1"/>
  <c r="V393" i="2"/>
  <c r="W393" i="2" s="1"/>
  <c r="V377" i="2"/>
  <c r="W377" i="2" s="1"/>
  <c r="V361" i="2"/>
  <c r="W361" i="2" s="1"/>
  <c r="V345" i="2"/>
  <c r="W345" i="2" s="1"/>
  <c r="V329" i="2"/>
  <c r="W329" i="2" s="1"/>
  <c r="V313" i="2"/>
  <c r="W313" i="2" s="1"/>
  <c r="V297" i="2"/>
  <c r="W297" i="2" s="1"/>
  <c r="V281" i="2"/>
  <c r="W281" i="2" s="1"/>
  <c r="V265" i="2"/>
  <c r="W265" i="2" s="1"/>
  <c r="V249" i="2"/>
  <c r="W249" i="2" s="1"/>
  <c r="V233" i="2"/>
  <c r="W233" i="2" s="1"/>
  <c r="V217" i="2"/>
  <c r="W217" i="2" s="1"/>
  <c r="V201" i="2"/>
  <c r="W201" i="2" s="1"/>
  <c r="V185" i="2"/>
  <c r="W185" i="2" s="1"/>
  <c r="V169" i="2"/>
  <c r="W169" i="2" s="1"/>
  <c r="V153" i="2"/>
  <c r="W153" i="2" s="1"/>
  <c r="V137" i="2"/>
  <c r="W137" i="2" s="1"/>
  <c r="V121" i="2"/>
  <c r="W121" i="2" s="1"/>
  <c r="V105" i="2"/>
  <c r="W105" i="2" s="1"/>
  <c r="V89" i="2"/>
  <c r="W89" i="2" s="1"/>
  <c r="V73" i="2"/>
  <c r="W73" i="2" s="1"/>
  <c r="V57" i="2"/>
  <c r="W57" i="2" s="1"/>
  <c r="V41" i="2"/>
  <c r="W41" i="2" s="1"/>
  <c r="T410" i="2"/>
  <c r="U410" i="2" s="1"/>
  <c r="T282" i="2"/>
  <c r="U282" i="2" s="1"/>
  <c r="T154" i="2"/>
  <c r="U154" i="2" s="1"/>
  <c r="T41" i="2"/>
  <c r="U41" i="2" s="1"/>
  <c r="V59" i="2"/>
  <c r="W59" i="2" s="1"/>
  <c r="T378" i="2"/>
  <c r="U378" i="2" s="1"/>
  <c r="T250" i="2"/>
  <c r="U250" i="2" s="1"/>
  <c r="T122" i="2"/>
  <c r="U122" i="2" s="1"/>
  <c r="V411" i="2"/>
  <c r="W411" i="2" s="1"/>
  <c r="V283" i="2"/>
  <c r="W283" i="2" s="1"/>
  <c r="V155" i="2"/>
  <c r="W155" i="2" s="1"/>
  <c r="T377" i="2"/>
  <c r="U377" i="2" s="1"/>
  <c r="T249" i="2"/>
  <c r="U249" i="2" s="1"/>
  <c r="T121" i="2"/>
  <c r="U121" i="2" s="1"/>
  <c r="T362" i="2"/>
  <c r="U362" i="2" s="1"/>
  <c r="T234" i="2"/>
  <c r="U234" i="2" s="1"/>
  <c r="T106" i="2"/>
  <c r="U106" i="2" s="1"/>
  <c r="V395" i="2"/>
  <c r="W395" i="2" s="1"/>
  <c r="V267" i="2"/>
  <c r="W267" i="2" s="1"/>
  <c r="V139" i="2"/>
  <c r="W139" i="2" s="1"/>
  <c r="T361" i="2"/>
  <c r="U361" i="2" s="1"/>
  <c r="T233" i="2"/>
  <c r="U233" i="2" s="1"/>
  <c r="T105" i="2"/>
  <c r="U105" i="2" s="1"/>
  <c r="V394" i="2"/>
  <c r="W394" i="2" s="1"/>
  <c r="V266" i="2"/>
  <c r="W266" i="2" s="1"/>
  <c r="V138" i="2"/>
  <c r="W138" i="2" s="1"/>
  <c r="T346" i="2"/>
  <c r="U346" i="2" s="1"/>
  <c r="T218" i="2"/>
  <c r="U218" i="2" s="1"/>
  <c r="T90" i="2"/>
  <c r="U90" i="2" s="1"/>
  <c r="V379" i="2"/>
  <c r="W379" i="2" s="1"/>
  <c r="V251" i="2"/>
  <c r="W251" i="2" s="1"/>
  <c r="V123" i="2"/>
  <c r="W123" i="2" s="1"/>
  <c r="T345" i="2"/>
  <c r="U345" i="2" s="1"/>
  <c r="T217" i="2"/>
  <c r="U217" i="2" s="1"/>
  <c r="T89" i="2"/>
  <c r="U89" i="2" s="1"/>
  <c r="T330" i="2"/>
  <c r="U330" i="2" s="1"/>
  <c r="T202" i="2"/>
  <c r="U202" i="2" s="1"/>
  <c r="T74" i="2"/>
  <c r="U74" i="2" s="1"/>
  <c r="V363" i="2"/>
  <c r="W363" i="2" s="1"/>
  <c r="V235" i="2"/>
  <c r="W235" i="2" s="1"/>
  <c r="V107" i="2"/>
  <c r="W107" i="2" s="1"/>
  <c r="T329" i="2"/>
  <c r="U329" i="2" s="1"/>
  <c r="T201" i="2"/>
  <c r="U201" i="2" s="1"/>
  <c r="T73" i="2"/>
  <c r="U73" i="2" s="1"/>
  <c r="T442" i="2"/>
  <c r="U442" i="2" s="1"/>
  <c r="T314" i="2"/>
  <c r="U314" i="2" s="1"/>
  <c r="T186" i="2"/>
  <c r="U186" i="2" s="1"/>
  <c r="T58" i="2"/>
  <c r="U58" i="2" s="1"/>
  <c r="V347" i="2"/>
  <c r="W347" i="2" s="1"/>
  <c r="V219" i="2"/>
  <c r="W219" i="2" s="1"/>
  <c r="V91" i="2"/>
  <c r="W91" i="2" s="1"/>
  <c r="T441" i="2"/>
  <c r="U441" i="2" s="1"/>
  <c r="T313" i="2"/>
  <c r="U313" i="2" s="1"/>
  <c r="T185" i="2"/>
  <c r="U185" i="2" s="1"/>
  <c r="T57" i="2"/>
  <c r="U57" i="2" s="1"/>
  <c r="T426" i="2"/>
  <c r="U426" i="2" s="1"/>
  <c r="T298" i="2"/>
  <c r="U298" i="2" s="1"/>
  <c r="T170" i="2"/>
  <c r="U170" i="2" s="1"/>
  <c r="T42" i="2"/>
  <c r="U42" i="2" s="1"/>
  <c r="V331" i="2"/>
  <c r="W331" i="2" s="1"/>
  <c r="V203" i="2"/>
  <c r="W203" i="2" s="1"/>
  <c r="V75" i="2"/>
  <c r="W75" i="2" s="1"/>
  <c r="T425" i="2"/>
  <c r="U425" i="2" s="1"/>
  <c r="T297" i="2"/>
  <c r="U297" i="2" s="1"/>
  <c r="T169" i="2"/>
  <c r="U169" i="2" s="1"/>
  <c r="V443" i="2"/>
  <c r="W443" i="2" s="1"/>
  <c r="V315" i="2"/>
  <c r="W315" i="2" s="1"/>
  <c r="V187" i="2"/>
  <c r="W187" i="2" s="1"/>
  <c r="T409" i="2"/>
  <c r="U409" i="2" s="1"/>
  <c r="T281" i="2"/>
  <c r="U281" i="2" s="1"/>
  <c r="T153" i="2"/>
  <c r="U153" i="2" s="1"/>
  <c r="V427" i="2"/>
  <c r="W427" i="2" s="1"/>
  <c r="V299" i="2"/>
  <c r="W299" i="2" s="1"/>
  <c r="V171" i="2"/>
  <c r="W171" i="2" s="1"/>
  <c r="V43" i="2"/>
  <c r="W43" i="2" s="1"/>
  <c r="T393" i="2"/>
  <c r="U393" i="2" s="1"/>
  <c r="T265" i="2"/>
  <c r="U265" i="2" s="1"/>
  <c r="T137" i="2"/>
  <c r="U137" i="2" s="1"/>
  <c r="T440" i="2"/>
  <c r="U440" i="2" s="1"/>
  <c r="T424" i="2"/>
  <c r="U424" i="2" s="1"/>
  <c r="T408" i="2"/>
  <c r="U408" i="2" s="1"/>
  <c r="T392" i="2"/>
  <c r="U392" i="2" s="1"/>
  <c r="T376" i="2"/>
  <c r="U376" i="2" s="1"/>
  <c r="T360" i="2"/>
  <c r="U360" i="2" s="1"/>
  <c r="T344" i="2"/>
  <c r="U344" i="2" s="1"/>
  <c r="T328" i="2"/>
  <c r="U328" i="2" s="1"/>
  <c r="T312" i="2"/>
  <c r="U312" i="2" s="1"/>
  <c r="T296" i="2"/>
  <c r="U296" i="2" s="1"/>
  <c r="T280" i="2"/>
  <c r="U280" i="2" s="1"/>
  <c r="T264" i="2"/>
  <c r="U264" i="2" s="1"/>
  <c r="T248" i="2"/>
  <c r="U248" i="2" s="1"/>
  <c r="T232" i="2"/>
  <c r="U232" i="2" s="1"/>
  <c r="T216" i="2"/>
  <c r="U216" i="2" s="1"/>
  <c r="T200" i="2"/>
  <c r="U200" i="2" s="1"/>
  <c r="T184" i="2"/>
  <c r="U184" i="2" s="1"/>
  <c r="T168" i="2"/>
  <c r="U168" i="2" s="1"/>
  <c r="T152" i="2"/>
  <c r="U152" i="2" s="1"/>
  <c r="T136" i="2"/>
  <c r="U136" i="2" s="1"/>
  <c r="T120" i="2"/>
  <c r="U120" i="2" s="1"/>
  <c r="T104" i="2"/>
  <c r="U104" i="2" s="1"/>
  <c r="T88" i="2"/>
  <c r="U88" i="2" s="1"/>
  <c r="T72" i="2"/>
  <c r="U72" i="2" s="1"/>
  <c r="T56" i="2"/>
  <c r="U56" i="2" s="1"/>
  <c r="T40" i="2"/>
  <c r="U40" i="2" s="1"/>
  <c r="T439" i="2"/>
  <c r="U439" i="2" s="1"/>
  <c r="T423" i="2"/>
  <c r="U423" i="2" s="1"/>
  <c r="T407" i="2"/>
  <c r="U407" i="2" s="1"/>
  <c r="T391" i="2"/>
  <c r="U391" i="2" s="1"/>
  <c r="T375" i="2"/>
  <c r="U375" i="2" s="1"/>
  <c r="T359" i="2"/>
  <c r="U359" i="2" s="1"/>
  <c r="T343" i="2"/>
  <c r="U343" i="2" s="1"/>
  <c r="T327" i="2"/>
  <c r="U327" i="2" s="1"/>
  <c r="T311" i="2"/>
  <c r="U311" i="2" s="1"/>
  <c r="T295" i="2"/>
  <c r="U295" i="2" s="1"/>
  <c r="T279" i="2"/>
  <c r="U279" i="2" s="1"/>
  <c r="T263" i="2"/>
  <c r="U263" i="2" s="1"/>
  <c r="T247" i="2"/>
  <c r="U247" i="2" s="1"/>
  <c r="T231" i="2"/>
  <c r="U231" i="2" s="1"/>
  <c r="T215" i="2"/>
  <c r="U215" i="2" s="1"/>
  <c r="T199" i="2"/>
  <c r="U199" i="2" s="1"/>
  <c r="T183" i="2"/>
  <c r="U183" i="2" s="1"/>
  <c r="T167" i="2"/>
  <c r="U167" i="2" s="1"/>
  <c r="T151" i="2"/>
  <c r="U151" i="2" s="1"/>
  <c r="T135" i="2"/>
  <c r="U135" i="2" s="1"/>
  <c r="T119" i="2"/>
  <c r="U119" i="2" s="1"/>
  <c r="T103" i="2"/>
  <c r="U103" i="2" s="1"/>
  <c r="T87" i="2"/>
  <c r="U87" i="2" s="1"/>
  <c r="T71" i="2"/>
  <c r="U71" i="2" s="1"/>
  <c r="T55" i="2"/>
  <c r="U55" i="2" s="1"/>
  <c r="T39" i="2"/>
  <c r="U39" i="2" s="1"/>
  <c r="T438" i="2"/>
  <c r="U438" i="2" s="1"/>
  <c r="T422" i="2"/>
  <c r="U422" i="2" s="1"/>
  <c r="T406" i="2"/>
  <c r="U406" i="2" s="1"/>
  <c r="T390" i="2"/>
  <c r="U390" i="2" s="1"/>
  <c r="T374" i="2"/>
  <c r="U374" i="2" s="1"/>
  <c r="T358" i="2"/>
  <c r="U358" i="2" s="1"/>
  <c r="T342" i="2"/>
  <c r="U342" i="2" s="1"/>
  <c r="T326" i="2"/>
  <c r="U326" i="2" s="1"/>
  <c r="T310" i="2"/>
  <c r="U310" i="2" s="1"/>
  <c r="T294" i="2"/>
  <c r="U294" i="2" s="1"/>
  <c r="T278" i="2"/>
  <c r="U278" i="2" s="1"/>
  <c r="T262" i="2"/>
  <c r="U262" i="2" s="1"/>
  <c r="T246" i="2"/>
  <c r="U246" i="2" s="1"/>
  <c r="T230" i="2"/>
  <c r="U230" i="2" s="1"/>
  <c r="T214" i="2"/>
  <c r="U214" i="2" s="1"/>
  <c r="T198" i="2"/>
  <c r="U198" i="2" s="1"/>
  <c r="T182" i="2"/>
  <c r="U182" i="2" s="1"/>
  <c r="T166" i="2"/>
  <c r="U166" i="2" s="1"/>
  <c r="T150" i="2"/>
  <c r="U150" i="2" s="1"/>
  <c r="T134" i="2"/>
  <c r="U134" i="2" s="1"/>
  <c r="T118" i="2"/>
  <c r="U118" i="2" s="1"/>
  <c r="T102" i="2"/>
  <c r="U102" i="2" s="1"/>
  <c r="T86" i="2"/>
  <c r="U86" i="2" s="1"/>
  <c r="T70" i="2"/>
  <c r="U70" i="2" s="1"/>
  <c r="T54" i="2"/>
  <c r="U54" i="2" s="1"/>
  <c r="T38" i="2"/>
  <c r="U38" i="2" s="1"/>
  <c r="T437" i="2"/>
  <c r="U437" i="2" s="1"/>
  <c r="T421" i="2"/>
  <c r="U421" i="2" s="1"/>
  <c r="T405" i="2"/>
  <c r="U405" i="2" s="1"/>
  <c r="T389" i="2"/>
  <c r="U389" i="2" s="1"/>
  <c r="T373" i="2"/>
  <c r="U373" i="2" s="1"/>
  <c r="T357" i="2"/>
  <c r="U357" i="2" s="1"/>
  <c r="T341" i="2"/>
  <c r="U341" i="2" s="1"/>
  <c r="T325" i="2"/>
  <c r="U325" i="2" s="1"/>
  <c r="T309" i="2"/>
  <c r="U309" i="2" s="1"/>
  <c r="T293" i="2"/>
  <c r="U293" i="2" s="1"/>
  <c r="T277" i="2"/>
  <c r="U277" i="2" s="1"/>
  <c r="T261" i="2"/>
  <c r="U261" i="2" s="1"/>
  <c r="T245" i="2"/>
  <c r="U245" i="2" s="1"/>
  <c r="T229" i="2"/>
  <c r="U229" i="2" s="1"/>
  <c r="T213" i="2"/>
  <c r="U213" i="2" s="1"/>
  <c r="T197" i="2"/>
  <c r="U197" i="2" s="1"/>
  <c r="T181" i="2"/>
  <c r="U181" i="2" s="1"/>
  <c r="T165" i="2"/>
  <c r="U165" i="2" s="1"/>
  <c r="T149" i="2"/>
  <c r="U149" i="2" s="1"/>
  <c r="T133" i="2"/>
  <c r="U133" i="2" s="1"/>
  <c r="T117" i="2"/>
  <c r="U117" i="2" s="1"/>
  <c r="T101" i="2"/>
  <c r="U101" i="2" s="1"/>
  <c r="T85" i="2"/>
  <c r="U85" i="2" s="1"/>
  <c r="T69" i="2"/>
  <c r="U69" i="2" s="1"/>
  <c r="T53" i="2"/>
  <c r="U53" i="2" s="1"/>
  <c r="T37" i="2"/>
  <c r="U37" i="2" s="1"/>
  <c r="T436" i="2"/>
  <c r="U436" i="2" s="1"/>
  <c r="T420" i="2"/>
  <c r="U420" i="2" s="1"/>
  <c r="T404" i="2"/>
  <c r="U404" i="2" s="1"/>
  <c r="T388" i="2"/>
  <c r="U388" i="2" s="1"/>
  <c r="T372" i="2"/>
  <c r="U372" i="2" s="1"/>
  <c r="T356" i="2"/>
  <c r="U356" i="2" s="1"/>
  <c r="T340" i="2"/>
  <c r="U340" i="2" s="1"/>
  <c r="T324" i="2"/>
  <c r="U324" i="2" s="1"/>
  <c r="T308" i="2"/>
  <c r="U308" i="2" s="1"/>
  <c r="T292" i="2"/>
  <c r="U292" i="2" s="1"/>
  <c r="T276" i="2"/>
  <c r="U276" i="2" s="1"/>
  <c r="T260" i="2"/>
  <c r="U260" i="2" s="1"/>
  <c r="T244" i="2"/>
  <c r="U244" i="2" s="1"/>
  <c r="T228" i="2"/>
  <c r="U228" i="2" s="1"/>
  <c r="T212" i="2"/>
  <c r="U212" i="2" s="1"/>
  <c r="T196" i="2"/>
  <c r="U196" i="2" s="1"/>
  <c r="T180" i="2"/>
  <c r="U180" i="2" s="1"/>
  <c r="T164" i="2"/>
  <c r="U164" i="2" s="1"/>
  <c r="T148" i="2"/>
  <c r="U148" i="2" s="1"/>
  <c r="T132" i="2"/>
  <c r="U132" i="2" s="1"/>
  <c r="T116" i="2"/>
  <c r="U116" i="2" s="1"/>
  <c r="T100" i="2"/>
  <c r="U100" i="2" s="1"/>
  <c r="T84" i="2"/>
  <c r="U84" i="2" s="1"/>
  <c r="T68" i="2"/>
  <c r="U68" i="2" s="1"/>
  <c r="T52" i="2"/>
  <c r="U52" i="2" s="1"/>
  <c r="T36" i="2"/>
  <c r="U36" i="2" s="1"/>
  <c r="T435" i="2"/>
  <c r="U435" i="2" s="1"/>
  <c r="T419" i="2"/>
  <c r="U419" i="2" s="1"/>
  <c r="T403" i="2"/>
  <c r="U403" i="2" s="1"/>
  <c r="T387" i="2"/>
  <c r="U387" i="2" s="1"/>
  <c r="T371" i="2"/>
  <c r="U371" i="2" s="1"/>
  <c r="T355" i="2"/>
  <c r="U355" i="2" s="1"/>
  <c r="T339" i="2"/>
  <c r="U339" i="2" s="1"/>
  <c r="T323" i="2"/>
  <c r="U323" i="2" s="1"/>
  <c r="T307" i="2"/>
  <c r="U307" i="2" s="1"/>
  <c r="T291" i="2"/>
  <c r="U291" i="2" s="1"/>
  <c r="T275" i="2"/>
  <c r="U275" i="2" s="1"/>
  <c r="T259" i="2"/>
  <c r="U259" i="2" s="1"/>
  <c r="T243" i="2"/>
  <c r="U243" i="2" s="1"/>
  <c r="T227" i="2"/>
  <c r="U227" i="2" s="1"/>
  <c r="T211" i="2"/>
  <c r="U211" i="2" s="1"/>
  <c r="T195" i="2"/>
  <c r="U195" i="2" s="1"/>
  <c r="T179" i="2"/>
  <c r="U179" i="2" s="1"/>
  <c r="T163" i="2"/>
  <c r="U163" i="2" s="1"/>
  <c r="T147" i="2"/>
  <c r="U147" i="2" s="1"/>
  <c r="T131" i="2"/>
  <c r="U131" i="2" s="1"/>
  <c r="T115" i="2"/>
  <c r="U115" i="2" s="1"/>
  <c r="T99" i="2"/>
  <c r="U99" i="2" s="1"/>
  <c r="T83" i="2"/>
  <c r="U83" i="2" s="1"/>
  <c r="T67" i="2"/>
  <c r="U67" i="2" s="1"/>
  <c r="T51" i="2"/>
  <c r="U51" i="2" s="1"/>
  <c r="T35" i="2"/>
  <c r="U35" i="2" s="1"/>
  <c r="T434" i="2"/>
  <c r="U434" i="2" s="1"/>
  <c r="T418" i="2"/>
  <c r="U418" i="2" s="1"/>
  <c r="T402" i="2"/>
  <c r="U402" i="2" s="1"/>
  <c r="T386" i="2"/>
  <c r="U386" i="2" s="1"/>
  <c r="T370" i="2"/>
  <c r="U370" i="2" s="1"/>
  <c r="T354" i="2"/>
  <c r="U354" i="2" s="1"/>
  <c r="T338" i="2"/>
  <c r="U338" i="2" s="1"/>
  <c r="T322" i="2"/>
  <c r="U322" i="2" s="1"/>
  <c r="T306" i="2"/>
  <c r="U306" i="2" s="1"/>
  <c r="T290" i="2"/>
  <c r="U290" i="2" s="1"/>
  <c r="T274" i="2"/>
  <c r="U274" i="2" s="1"/>
  <c r="T258" i="2"/>
  <c r="U258" i="2" s="1"/>
  <c r="T242" i="2"/>
  <c r="U242" i="2" s="1"/>
  <c r="T226" i="2"/>
  <c r="U226" i="2" s="1"/>
  <c r="T210" i="2"/>
  <c r="U210" i="2" s="1"/>
  <c r="T194" i="2"/>
  <c r="U194" i="2" s="1"/>
  <c r="T178" i="2"/>
  <c r="U178" i="2" s="1"/>
  <c r="T162" i="2"/>
  <c r="U162" i="2" s="1"/>
  <c r="T146" i="2"/>
  <c r="U146" i="2" s="1"/>
  <c r="T130" i="2"/>
  <c r="U130" i="2" s="1"/>
  <c r="T114" i="2"/>
  <c r="U114" i="2" s="1"/>
  <c r="T98" i="2"/>
  <c r="U98" i="2" s="1"/>
  <c r="T82" i="2"/>
  <c r="U82" i="2" s="1"/>
  <c r="T66" i="2"/>
  <c r="U66" i="2" s="1"/>
  <c r="T50" i="2"/>
  <c r="U50" i="2" s="1"/>
  <c r="T34" i="2"/>
  <c r="U34" i="2" s="1"/>
  <c r="T433" i="2"/>
  <c r="U433" i="2" s="1"/>
  <c r="T417" i="2"/>
  <c r="U417" i="2" s="1"/>
  <c r="T401" i="2"/>
  <c r="U401" i="2" s="1"/>
  <c r="T385" i="2"/>
  <c r="U385" i="2" s="1"/>
  <c r="T369" i="2"/>
  <c r="U369" i="2" s="1"/>
  <c r="T353" i="2"/>
  <c r="U353" i="2" s="1"/>
  <c r="T337" i="2"/>
  <c r="U337" i="2" s="1"/>
  <c r="T321" i="2"/>
  <c r="U321" i="2" s="1"/>
  <c r="T305" i="2"/>
  <c r="U305" i="2" s="1"/>
  <c r="T289" i="2"/>
  <c r="U289" i="2" s="1"/>
  <c r="T273" i="2"/>
  <c r="U273" i="2" s="1"/>
  <c r="T257" i="2"/>
  <c r="U257" i="2" s="1"/>
  <c r="T241" i="2"/>
  <c r="U241" i="2" s="1"/>
  <c r="T225" i="2"/>
  <c r="U225" i="2" s="1"/>
  <c r="T209" i="2"/>
  <c r="U209" i="2" s="1"/>
  <c r="T193" i="2"/>
  <c r="U193" i="2" s="1"/>
  <c r="T177" i="2"/>
  <c r="U177" i="2" s="1"/>
  <c r="T161" i="2"/>
  <c r="U161" i="2" s="1"/>
  <c r="T145" i="2"/>
  <c r="U145" i="2" s="1"/>
  <c r="T129" i="2"/>
  <c r="U129" i="2" s="1"/>
  <c r="T113" i="2"/>
  <c r="U113" i="2" s="1"/>
  <c r="T97" i="2"/>
  <c r="U97" i="2" s="1"/>
  <c r="T81" i="2"/>
  <c r="U81" i="2" s="1"/>
  <c r="T65" i="2"/>
  <c r="U65" i="2" s="1"/>
  <c r="T49" i="2"/>
  <c r="U49" i="2" s="1"/>
  <c r="T33" i="2"/>
  <c r="U33" i="2" s="1"/>
  <c r="T432" i="2"/>
  <c r="U432" i="2" s="1"/>
  <c r="T416" i="2"/>
  <c r="U416" i="2" s="1"/>
  <c r="T400" i="2"/>
  <c r="U400" i="2" s="1"/>
  <c r="T384" i="2"/>
  <c r="U384" i="2" s="1"/>
  <c r="T368" i="2"/>
  <c r="U368" i="2" s="1"/>
  <c r="T352" i="2"/>
  <c r="U352" i="2" s="1"/>
  <c r="T336" i="2"/>
  <c r="U336" i="2" s="1"/>
  <c r="T320" i="2"/>
  <c r="U320" i="2" s="1"/>
  <c r="T304" i="2"/>
  <c r="U304" i="2" s="1"/>
  <c r="T288" i="2"/>
  <c r="U288" i="2" s="1"/>
  <c r="T272" i="2"/>
  <c r="U272" i="2" s="1"/>
  <c r="T256" i="2"/>
  <c r="U256" i="2" s="1"/>
  <c r="T240" i="2"/>
  <c r="U240" i="2" s="1"/>
  <c r="T224" i="2"/>
  <c r="U224" i="2" s="1"/>
  <c r="T208" i="2"/>
  <c r="U208" i="2" s="1"/>
  <c r="T192" i="2"/>
  <c r="U192" i="2" s="1"/>
  <c r="T176" i="2"/>
  <c r="U176" i="2" s="1"/>
  <c r="T160" i="2"/>
  <c r="U160" i="2" s="1"/>
  <c r="T144" i="2"/>
  <c r="U144" i="2" s="1"/>
  <c r="T128" i="2"/>
  <c r="U128" i="2" s="1"/>
  <c r="T112" i="2"/>
  <c r="U112" i="2" s="1"/>
  <c r="T96" i="2"/>
  <c r="U96" i="2" s="1"/>
  <c r="T80" i="2"/>
  <c r="U80" i="2" s="1"/>
  <c r="T64" i="2"/>
  <c r="U64" i="2" s="1"/>
  <c r="T48" i="2"/>
  <c r="U48" i="2" s="1"/>
  <c r="T32" i="2"/>
  <c r="U32" i="2" s="1"/>
  <c r="T431" i="2"/>
  <c r="U431" i="2" s="1"/>
  <c r="T415" i="2"/>
  <c r="U415" i="2" s="1"/>
  <c r="T399" i="2"/>
  <c r="U399" i="2" s="1"/>
  <c r="T383" i="2"/>
  <c r="U383" i="2" s="1"/>
  <c r="T367" i="2"/>
  <c r="U367" i="2" s="1"/>
  <c r="T351" i="2"/>
  <c r="U351" i="2" s="1"/>
  <c r="T335" i="2"/>
  <c r="U335" i="2" s="1"/>
  <c r="T319" i="2"/>
  <c r="U319" i="2" s="1"/>
  <c r="T303" i="2"/>
  <c r="U303" i="2" s="1"/>
  <c r="T287" i="2"/>
  <c r="U287" i="2" s="1"/>
  <c r="T271" i="2"/>
  <c r="U271" i="2" s="1"/>
  <c r="T255" i="2"/>
  <c r="U255" i="2" s="1"/>
  <c r="T239" i="2"/>
  <c r="U239" i="2" s="1"/>
  <c r="T223" i="2"/>
  <c r="U223" i="2" s="1"/>
  <c r="T207" i="2"/>
  <c r="U207" i="2" s="1"/>
  <c r="T191" i="2"/>
  <c r="U191" i="2" s="1"/>
  <c r="T175" i="2"/>
  <c r="U175" i="2" s="1"/>
  <c r="T159" i="2"/>
  <c r="U159" i="2" s="1"/>
  <c r="T143" i="2"/>
  <c r="U143" i="2" s="1"/>
  <c r="T127" i="2"/>
  <c r="U127" i="2" s="1"/>
  <c r="T111" i="2"/>
  <c r="U111" i="2" s="1"/>
  <c r="T95" i="2"/>
  <c r="U95" i="2" s="1"/>
  <c r="T79" i="2"/>
  <c r="U79" i="2" s="1"/>
  <c r="T63" i="2"/>
  <c r="U63" i="2" s="1"/>
  <c r="T47" i="2"/>
  <c r="U47" i="2" s="1"/>
  <c r="T31" i="2"/>
  <c r="U31" i="2" s="1"/>
  <c r="T446" i="2"/>
  <c r="U446" i="2" s="1"/>
  <c r="T430" i="2"/>
  <c r="U430" i="2" s="1"/>
  <c r="T414" i="2"/>
  <c r="U414" i="2" s="1"/>
  <c r="T398" i="2"/>
  <c r="U398" i="2" s="1"/>
  <c r="T382" i="2"/>
  <c r="U382" i="2" s="1"/>
  <c r="T366" i="2"/>
  <c r="U366" i="2" s="1"/>
  <c r="T350" i="2"/>
  <c r="U350" i="2" s="1"/>
  <c r="T334" i="2"/>
  <c r="U334" i="2" s="1"/>
  <c r="T318" i="2"/>
  <c r="U318" i="2" s="1"/>
  <c r="T302" i="2"/>
  <c r="U302" i="2" s="1"/>
  <c r="T286" i="2"/>
  <c r="U286" i="2" s="1"/>
  <c r="T270" i="2"/>
  <c r="U270" i="2" s="1"/>
  <c r="T254" i="2"/>
  <c r="U254" i="2" s="1"/>
  <c r="T238" i="2"/>
  <c r="U238" i="2" s="1"/>
  <c r="T222" i="2"/>
  <c r="U222" i="2" s="1"/>
  <c r="T206" i="2"/>
  <c r="U206" i="2" s="1"/>
  <c r="T190" i="2"/>
  <c r="U190" i="2" s="1"/>
  <c r="T174" i="2"/>
  <c r="U174" i="2" s="1"/>
  <c r="T158" i="2"/>
  <c r="U158" i="2" s="1"/>
  <c r="T142" i="2"/>
  <c r="U142" i="2" s="1"/>
  <c r="T126" i="2"/>
  <c r="U126" i="2" s="1"/>
  <c r="T110" i="2"/>
  <c r="U110" i="2" s="1"/>
  <c r="T94" i="2"/>
  <c r="U94" i="2" s="1"/>
  <c r="T78" i="2"/>
  <c r="U78" i="2" s="1"/>
  <c r="T62" i="2"/>
  <c r="U62" i="2" s="1"/>
  <c r="T46" i="2"/>
  <c r="U46" i="2" s="1"/>
  <c r="T30" i="2"/>
  <c r="U30" i="2" s="1"/>
  <c r="T445" i="2"/>
  <c r="U445" i="2" s="1"/>
  <c r="T429" i="2"/>
  <c r="U429" i="2" s="1"/>
  <c r="T413" i="2"/>
  <c r="U413" i="2" s="1"/>
  <c r="T397" i="2"/>
  <c r="U397" i="2" s="1"/>
  <c r="T381" i="2"/>
  <c r="U381" i="2" s="1"/>
  <c r="T365" i="2"/>
  <c r="U365" i="2" s="1"/>
  <c r="T349" i="2"/>
  <c r="U349" i="2" s="1"/>
  <c r="T333" i="2"/>
  <c r="U333" i="2" s="1"/>
  <c r="T317" i="2"/>
  <c r="U317" i="2" s="1"/>
  <c r="T301" i="2"/>
  <c r="U301" i="2" s="1"/>
  <c r="T285" i="2"/>
  <c r="U285" i="2" s="1"/>
  <c r="T269" i="2"/>
  <c r="U269" i="2" s="1"/>
  <c r="T253" i="2"/>
  <c r="U253" i="2" s="1"/>
  <c r="T237" i="2"/>
  <c r="U237" i="2" s="1"/>
  <c r="T221" i="2"/>
  <c r="U221" i="2" s="1"/>
  <c r="T205" i="2"/>
  <c r="U205" i="2" s="1"/>
  <c r="T189" i="2"/>
  <c r="U189" i="2" s="1"/>
  <c r="T173" i="2"/>
  <c r="U173" i="2" s="1"/>
  <c r="T157" i="2"/>
  <c r="U157" i="2" s="1"/>
  <c r="T141" i="2"/>
  <c r="U141" i="2" s="1"/>
  <c r="T125" i="2"/>
  <c r="U125" i="2" s="1"/>
  <c r="T109" i="2"/>
  <c r="U109" i="2" s="1"/>
  <c r="T93" i="2"/>
  <c r="U93" i="2" s="1"/>
  <c r="T77" i="2"/>
  <c r="U77" i="2" s="1"/>
  <c r="T61" i="2"/>
  <c r="U61" i="2" s="1"/>
  <c r="T45" i="2"/>
  <c r="U45" i="2" s="1"/>
  <c r="T29" i="2"/>
  <c r="U29" i="2" s="1"/>
  <c r="T444" i="2"/>
  <c r="U444" i="2" s="1"/>
  <c r="T428" i="2"/>
  <c r="U428" i="2" s="1"/>
  <c r="T412" i="2"/>
  <c r="U412" i="2" s="1"/>
  <c r="T396" i="2"/>
  <c r="U396" i="2" s="1"/>
  <c r="T380" i="2"/>
  <c r="U380" i="2" s="1"/>
  <c r="T364" i="2"/>
  <c r="U364" i="2" s="1"/>
  <c r="T348" i="2"/>
  <c r="U348" i="2" s="1"/>
  <c r="T332" i="2"/>
  <c r="U332" i="2" s="1"/>
  <c r="T316" i="2"/>
  <c r="U316" i="2" s="1"/>
  <c r="T300" i="2"/>
  <c r="U300" i="2" s="1"/>
  <c r="T284" i="2"/>
  <c r="U284" i="2" s="1"/>
  <c r="T268" i="2"/>
  <c r="U268" i="2" s="1"/>
  <c r="T252" i="2"/>
  <c r="U252" i="2" s="1"/>
  <c r="T236" i="2"/>
  <c r="U236" i="2" s="1"/>
  <c r="T220" i="2"/>
  <c r="U220" i="2" s="1"/>
  <c r="T204" i="2"/>
  <c r="U204" i="2" s="1"/>
  <c r="T188" i="2"/>
  <c r="U188" i="2" s="1"/>
  <c r="T172" i="2"/>
  <c r="U172" i="2" s="1"/>
  <c r="T156" i="2"/>
  <c r="U156" i="2" s="1"/>
  <c r="T140" i="2"/>
  <c r="U140" i="2" s="1"/>
  <c r="T124" i="2"/>
  <c r="U124" i="2" s="1"/>
  <c r="T108" i="2"/>
  <c r="U108" i="2" s="1"/>
  <c r="T92" i="2"/>
  <c r="U92" i="2" s="1"/>
  <c r="T76" i="2"/>
  <c r="U76" i="2" s="1"/>
  <c r="T60" i="2"/>
  <c r="U60" i="2" s="1"/>
  <c r="T44" i="2"/>
  <c r="U44" i="2" s="1"/>
  <c r="T28" i="2"/>
  <c r="U28" i="2" s="1"/>
  <c r="V8" i="2"/>
  <c r="W8" i="2" s="1"/>
  <c r="V20" i="2"/>
  <c r="W20" i="2" s="1"/>
  <c r="W56" i="2"/>
  <c r="W104" i="2"/>
  <c r="W116" i="2"/>
  <c r="W128" i="2"/>
  <c r="W200" i="2"/>
  <c r="W212" i="2"/>
  <c r="W224" i="2"/>
  <c r="W320" i="2"/>
  <c r="V9" i="2"/>
  <c r="W9" i="2" s="1"/>
  <c r="V21" i="2"/>
  <c r="W21" i="2" s="1"/>
  <c r="W69" i="2"/>
  <c r="W81" i="2"/>
  <c r="W117" i="2"/>
  <c r="W129" i="2"/>
  <c r="W177" i="2"/>
  <c r="V11" i="2"/>
  <c r="W11" i="2" s="1"/>
  <c r="V23" i="2"/>
  <c r="W23" i="2" s="1"/>
  <c r="W35" i="2"/>
  <c r="W71" i="2"/>
  <c r="W119" i="2"/>
  <c r="W131" i="2"/>
  <c r="W167" i="2"/>
  <c r="W179" i="2"/>
  <c r="W215" i="2"/>
  <c r="W263" i="2"/>
  <c r="W275" i="2"/>
  <c r="V10" i="2"/>
  <c r="W10" i="2" s="1"/>
  <c r="V26" i="2"/>
  <c r="W26" i="2" s="1"/>
  <c r="W360" i="2"/>
  <c r="W438" i="2"/>
  <c r="V12" i="2"/>
  <c r="W12" i="2" s="1"/>
  <c r="V27" i="2"/>
  <c r="W27" i="2" s="1"/>
  <c r="W439" i="2"/>
  <c r="V13" i="2"/>
  <c r="W13" i="2" s="1"/>
  <c r="W50" i="2"/>
  <c r="W87" i="2"/>
  <c r="W259" i="2"/>
  <c r="W418" i="2"/>
  <c r="W434" i="2"/>
  <c r="V14" i="2"/>
  <c r="W14" i="2" s="1"/>
  <c r="W70" i="2"/>
  <c r="W356" i="2"/>
  <c r="W372" i="2"/>
  <c r="W389" i="2"/>
  <c r="W435" i="2"/>
  <c r="V15" i="2"/>
  <c r="W15" i="2" s="1"/>
  <c r="W37" i="2"/>
  <c r="W336" i="2"/>
  <c r="V2" i="2"/>
  <c r="W2" i="2" s="1"/>
  <c r="T23" i="2"/>
  <c r="U23" i="2" s="1"/>
  <c r="V16" i="2"/>
  <c r="W16" i="2" s="1"/>
  <c r="W38" i="2"/>
  <c r="W84" i="2"/>
  <c r="W103" i="2"/>
  <c r="W197" i="2"/>
  <c r="W291" i="2"/>
  <c r="W433" i="2"/>
  <c r="T24" i="2"/>
  <c r="U24" i="2" s="1"/>
  <c r="V19" i="2"/>
  <c r="W19" i="2" s="1"/>
  <c r="W100" i="2"/>
  <c r="W421" i="2"/>
  <c r="T25" i="2"/>
  <c r="U25" i="2" s="1"/>
  <c r="V24" i="2"/>
  <c r="W24" i="2" s="1"/>
  <c r="W161" i="2"/>
  <c r="W327" i="2"/>
  <c r="W423" i="2"/>
  <c r="T2" i="2"/>
  <c r="U2" i="2" s="1"/>
  <c r="V22" i="2"/>
  <c r="W22" i="2" s="1"/>
  <c r="W214" i="2"/>
  <c r="W271" i="2"/>
  <c r="W352" i="2"/>
  <c r="W422" i="2"/>
  <c r="T26" i="2"/>
  <c r="U26" i="2" s="1"/>
  <c r="W52" i="2"/>
  <c r="W303" i="2"/>
  <c r="W401" i="2"/>
  <c r="T8" i="2"/>
  <c r="U8" i="2" s="1"/>
  <c r="W181" i="2"/>
  <c r="W226" i="2"/>
  <c r="W292" i="2"/>
  <c r="V4" i="2"/>
  <c r="W4" i="2" s="1"/>
  <c r="W40" i="2"/>
  <c r="W149" i="2"/>
  <c r="W193" i="2"/>
  <c r="T9" i="2"/>
  <c r="U9" i="2" s="1"/>
  <c r="V5" i="2"/>
  <c r="W5" i="2" s="1"/>
  <c r="W118" i="2"/>
  <c r="W194" i="2"/>
  <c r="W230" i="2"/>
  <c r="W305" i="2"/>
  <c r="W341" i="2"/>
  <c r="W368" i="2"/>
  <c r="W405" i="2"/>
  <c r="T10" i="2"/>
  <c r="U10" i="2" s="1"/>
  <c r="V6" i="2"/>
  <c r="W6" i="2" s="1"/>
  <c r="W231" i="2"/>
  <c r="T11" i="2"/>
  <c r="U11" i="2" s="1"/>
  <c r="V7" i="2"/>
  <c r="W7" i="2" s="1"/>
  <c r="W53" i="2"/>
  <c r="W114" i="2"/>
  <c r="V3" i="2"/>
  <c r="W3" i="2" s="1"/>
  <c r="V17" i="2"/>
  <c r="W17" i="2" s="1"/>
  <c r="W66" i="2"/>
  <c r="W136" i="2"/>
  <c r="W182" i="2"/>
  <c r="V18" i="2"/>
  <c r="W18" i="2" s="1"/>
  <c r="W198" i="2"/>
  <c r="W162" i="2"/>
  <c r="W255" i="2"/>
  <c r="W343" i="2"/>
  <c r="W417" i="2"/>
  <c r="T20" i="2"/>
  <c r="U20" i="2" s="1"/>
  <c r="W276" i="2"/>
  <c r="W437" i="2"/>
  <c r="T12" i="2"/>
  <c r="U12" i="2" s="1"/>
  <c r="W310" i="2"/>
  <c r="T13" i="2"/>
  <c r="U13" i="2" s="1"/>
  <c r="V25" i="2"/>
  <c r="W25" i="2" s="1"/>
  <c r="W112" i="2"/>
  <c r="W209" i="2"/>
  <c r="T14" i="2"/>
  <c r="U14" i="2" s="1"/>
  <c r="W210" i="2"/>
  <c r="W322" i="2"/>
  <c r="T21" i="2"/>
  <c r="U21" i="2" s="1"/>
  <c r="T22" i="2"/>
  <c r="U22" i="2" s="1"/>
  <c r="W199" i="2"/>
  <c r="T17" i="2"/>
  <c r="U17" i="2" s="1"/>
  <c r="T27" i="2"/>
  <c r="U27" i="2" s="1"/>
  <c r="T5" i="2"/>
  <c r="U5" i="2" s="1"/>
  <c r="T16" i="2"/>
  <c r="U16" i="2" s="1"/>
  <c r="T4" i="2"/>
  <c r="U4" i="2" s="1"/>
  <c r="T3" i="2"/>
  <c r="U3" i="2" s="1"/>
  <c r="T15" i="2"/>
  <c r="U15" i="2" s="1"/>
  <c r="T19" i="2"/>
  <c r="U19" i="2" s="1"/>
  <c r="T7" i="2"/>
  <c r="U7" i="2" s="1"/>
  <c r="T18" i="2"/>
  <c r="U18" i="2" s="1"/>
  <c r="T6" i="2"/>
  <c r="U6" i="2" s="1"/>
</calcChain>
</file>

<file path=xl/sharedStrings.xml><?xml version="1.0" encoding="utf-8"?>
<sst xmlns="http://schemas.openxmlformats.org/spreadsheetml/2006/main" count="8867" uniqueCount="1258">
  <si>
    <t>CODIGO</t>
  </si>
  <si>
    <t>DENOMINACION</t>
  </si>
  <si>
    <t>TD</t>
  </si>
  <si>
    <t>Nº DOCUMENTO</t>
  </si>
  <si>
    <t>IVA</t>
  </si>
  <si>
    <t>FECHA</t>
  </si>
  <si>
    <t>ESP</t>
  </si>
  <si>
    <t>SERIE</t>
  </si>
  <si>
    <t>NUMERO</t>
  </si>
  <si>
    <t>% IVA</t>
  </si>
  <si>
    <t>TOTAL</t>
  </si>
  <si>
    <t>GRAVADO</t>
  </si>
  <si>
    <t>EXEN/NO GRAV</t>
  </si>
  <si>
    <t>IVA Percep</t>
  </si>
  <si>
    <t>IIBB Percep</t>
  </si>
  <si>
    <t>OTROS</t>
  </si>
  <si>
    <t>EXCL.NET.GRAV</t>
  </si>
  <si>
    <t>000001</t>
  </si>
  <si>
    <t>AKZO NOBEL S.A. - (ALBA &amp; CETOL)</t>
  </si>
  <si>
    <t>80</t>
  </si>
  <si>
    <t>I</t>
  </si>
  <si>
    <t>NCP</t>
  </si>
  <si>
    <t>A1</t>
  </si>
  <si>
    <t>000005</t>
  </si>
  <si>
    <t>QUIMICA DEL NORTE S.A</t>
  </si>
  <si>
    <t>000266</t>
  </si>
  <si>
    <t>ANGA S.A</t>
  </si>
  <si>
    <t>000300</t>
  </si>
  <si>
    <t>A A ABRASIVOS ARGENTINOS S.A.I.C.</t>
  </si>
  <si>
    <t>000430</t>
  </si>
  <si>
    <t>DISAL S A  - TERSUAVE</t>
  </si>
  <si>
    <t>000458</t>
  </si>
  <si>
    <t>SAINT-GOBAIN ARGENTINA S.A. (WEBER / MEGAFLEX)</t>
  </si>
  <si>
    <t>001470</t>
  </si>
  <si>
    <t>ESPERANZA COMBUSTIBLES SA</t>
  </si>
  <si>
    <t>000039</t>
  </si>
  <si>
    <t>PREPAN S.A</t>
  </si>
  <si>
    <t>000415</t>
  </si>
  <si>
    <t>CHIASA S.R.L.</t>
  </si>
  <si>
    <t>001022</t>
  </si>
  <si>
    <t>RUST OLEUM ARGENTINA SA</t>
  </si>
  <si>
    <t>000032</t>
  </si>
  <si>
    <t>PIAZZA S.R.L.</t>
  </si>
  <si>
    <t>002245</t>
  </si>
  <si>
    <t>BURGERT S.A</t>
  </si>
  <si>
    <t>000111</t>
  </si>
  <si>
    <t>DIPROEL SRL</t>
  </si>
  <si>
    <t>000967</t>
  </si>
  <si>
    <t>ZEOCAR SACI</t>
  </si>
  <si>
    <t>000102</t>
  </si>
  <si>
    <t>FAIP S.A.I.C</t>
  </si>
  <si>
    <t>NDP</t>
  </si>
  <si>
    <t>A0</t>
  </si>
  <si>
    <t>NF</t>
  </si>
  <si>
    <t>A</t>
  </si>
  <si>
    <t>PORTMANN DIEGO</t>
  </si>
  <si>
    <t>000204</t>
  </si>
  <si>
    <t>COMPLEJO HOTEL DEL CENTRO</t>
  </si>
  <si>
    <t>X</t>
  </si>
  <si>
    <t>C</t>
  </si>
  <si>
    <t>000071</t>
  </si>
  <si>
    <t>VILLAGAS SA</t>
  </si>
  <si>
    <t>TORRESI OSCAR ARMANDO</t>
  </si>
  <si>
    <t>M</t>
  </si>
  <si>
    <t>001826</t>
  </si>
  <si>
    <t>BANCO SANTANDER RIO SA</t>
  </si>
  <si>
    <t>001977</t>
  </si>
  <si>
    <t>FIDEICOMISO ENTRE OFEK S.A. (TARJETA)</t>
  </si>
  <si>
    <t>001635</t>
  </si>
  <si>
    <t>MULE JAVIER JOSE</t>
  </si>
  <si>
    <t>001815</t>
  </si>
  <si>
    <t>ADISE SILVANA MARIA</t>
  </si>
  <si>
    <t>001555</t>
  </si>
  <si>
    <t>TOSOLINI ANDRES</t>
  </si>
  <si>
    <t>001400</t>
  </si>
  <si>
    <t>METROTEC S.A.</t>
  </si>
  <si>
    <t>001406</t>
  </si>
  <si>
    <t>GARBE DANIEL</t>
  </si>
  <si>
    <t>001554</t>
  </si>
  <si>
    <t>RICOBELLI ROSANA</t>
  </si>
  <si>
    <t>001591</t>
  </si>
  <si>
    <t>VILLATA GISELA Y OTROS SOC. L.19550 CAP.I SEC.IV</t>
  </si>
  <si>
    <t>002189</t>
  </si>
  <si>
    <t>CONDOMINIO DE YPPOLITO DANIEL OSVALDO Y HESSEL LILIANA</t>
  </si>
  <si>
    <t>001404</t>
  </si>
  <si>
    <t>BRIZUELA PEDRO</t>
  </si>
  <si>
    <t>001389</t>
  </si>
  <si>
    <t>FRANCHELLA EDGARDO RAMON</t>
  </si>
  <si>
    <t>002058</t>
  </si>
  <si>
    <t>002145</t>
  </si>
  <si>
    <t>PERREN GRACIELA NOEMI</t>
  </si>
  <si>
    <t>001385</t>
  </si>
  <si>
    <t>ELECTRICIDAD COLOMBO S.A.</t>
  </si>
  <si>
    <t>001784</t>
  </si>
  <si>
    <t>MIGNOLA ADRIANA ESTELA</t>
  </si>
  <si>
    <t>001491</t>
  </si>
  <si>
    <t>BALDI DI CINTIO AGUSTIN MARCELO</t>
  </si>
  <si>
    <t>000063</t>
  </si>
  <si>
    <t>EMPRESA PROVINCIAL DE LA ENERGIA DE SANTA FE</t>
  </si>
  <si>
    <t>001483</t>
  </si>
  <si>
    <t>PETRO SANTAFESINA S.A.</t>
  </si>
  <si>
    <t>000939</t>
  </si>
  <si>
    <t>AMX ARGENTINA S. A.</t>
  </si>
  <si>
    <t>002056</t>
  </si>
  <si>
    <t>SUÑE AGUSTIN</t>
  </si>
  <si>
    <t>002060</t>
  </si>
  <si>
    <t>SUÑE VALENTIN</t>
  </si>
  <si>
    <t>002289</t>
  </si>
  <si>
    <t>CRAVAREZZA RENATA</t>
  </si>
  <si>
    <t>002057</t>
  </si>
  <si>
    <t>SUÑE LAUTARO</t>
  </si>
  <si>
    <t>001594</t>
  </si>
  <si>
    <t>MEDIOS CIFRAS</t>
  </si>
  <si>
    <t>001717</t>
  </si>
  <si>
    <t>COOPERATIVA DE OBRAS Y SERVICIOS PUBLICOS DE DEVOTO LTDA</t>
  </si>
  <si>
    <t>001390</t>
  </si>
  <si>
    <t>BOTTAI ALBERTO</t>
  </si>
  <si>
    <t>000054</t>
  </si>
  <si>
    <t>TELECOM ARGENTINA SOCIEDAD ANONIMA</t>
  </si>
  <si>
    <t>001004</t>
  </si>
  <si>
    <t>MENDEZ GRACIELA MABEL</t>
  </si>
  <si>
    <t>001391</t>
  </si>
  <si>
    <t>URETA CORTES Y CIA SRL</t>
  </si>
  <si>
    <t>001589</t>
  </si>
  <si>
    <t>EPEC</t>
  </si>
  <si>
    <t>002076</t>
  </si>
  <si>
    <t>COOPERATIVA DE OBRAS Y SERVICIOS PUBLICOS LIMITADA DE RIO TERCERO</t>
  </si>
  <si>
    <t>001378</t>
  </si>
  <si>
    <t>TOTVS ARGENTINA</t>
  </si>
  <si>
    <t>001509</t>
  </si>
  <si>
    <t>GLADYS M. BOSCH</t>
  </si>
  <si>
    <t>000284</t>
  </si>
  <si>
    <t>EXPRESO 3 C SRL</t>
  </si>
  <si>
    <t>000142</t>
  </si>
  <si>
    <t>ENIMAR REPRESENTACIONES S.R.L</t>
  </si>
  <si>
    <t>002155</t>
  </si>
  <si>
    <t>WILTEL COMUNICACIONES SA</t>
  </si>
  <si>
    <t>000213</t>
  </si>
  <si>
    <t>SUCESION DE RIVERA EDUARDO</t>
  </si>
  <si>
    <t>001411</t>
  </si>
  <si>
    <t>MARCUZZI ANDRES CARLOS</t>
  </si>
  <si>
    <t>001538</t>
  </si>
  <si>
    <t>ATILIO SALAS INMOBILIARIA S.R.L.</t>
  </si>
  <si>
    <t>AIMETTA Y RIMONDA S.R.L.</t>
  </si>
  <si>
    <t>SANTOLARIA GUSTAVO ANDRES</t>
  </si>
  <si>
    <t>000928</t>
  </si>
  <si>
    <t>BILBAO RODRIGO JAVIER</t>
  </si>
  <si>
    <t>001502</t>
  </si>
  <si>
    <t>001526</t>
  </si>
  <si>
    <t>DEBONA MARCELO FABIAN Y DEBONA VICTOR HUGO S.H.</t>
  </si>
  <si>
    <t>001480</t>
  </si>
  <si>
    <t>BANCO DE LA NACION ARGENTINA</t>
  </si>
  <si>
    <t>Fecha</t>
  </si>
  <si>
    <t>Tipo</t>
  </si>
  <si>
    <t>Punto de Venta</t>
  </si>
  <si>
    <t>Número Desde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</si>
  <si>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</si>
  <si>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</si>
  <si>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</si>
  <si>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</si>
  <si>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</si>
  <si>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</si>
  <si>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</si>
  <si>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</si>
  <si>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</si>
  <si>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</si>
  <si>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</si>
  <si>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FIDEICOMISO ENTRE OFEK S.A. , OSVALDO BESNOSOFF Y OTROS</t>
  </si>
  <si>
    <t>$</t>
  </si>
  <si>
    <t>GARBE DANIEL LUIS</t>
  </si>
  <si>
    <t>TOSOLINI ANDRES ALCIDES GUSTAVO</t>
  </si>
  <si>
    <t>ANGA S.A.</t>
  </si>
  <si>
    <t>METROTEC S. A.</t>
  </si>
  <si>
    <t>ASOCIACION MUTUAL RURALISTA</t>
  </si>
  <si>
    <t>ASOCIACION COOPERADORA POLICIAL DE ESPERANZA DEPARTAMENTO LAS COLONIAS PROVINCIA DE SANTA FE</t>
  </si>
  <si>
    <t>DECAFIP SOC RESP LTDA</t>
  </si>
  <si>
    <t>ROSELE S.A.S.</t>
  </si>
  <si>
    <t>BRIZUELA PEDRO MARTIN</t>
  </si>
  <si>
    <t>VILLATA GISELA E., VILLATA DIEGO H., VILLATA FERNANDO A., VILLATA HORACIO J. Y VILLATA KAREN B. SOCI</t>
  </si>
  <si>
    <t>SAINT-GOBAIN ARGENTINA SA</t>
  </si>
  <si>
    <t>DISAL S A</t>
  </si>
  <si>
    <t>ZAVALA MARCELA GLADIS</t>
  </si>
  <si>
    <t>DIPROEL S R L</t>
  </si>
  <si>
    <t>AMX ARGENTINA SOCIEDAD ANONIMA</t>
  </si>
  <si>
    <t>CHIASA S R L</t>
  </si>
  <si>
    <t>BURGERT SA</t>
  </si>
  <si>
    <t>GRANDES ALMACENES ESPERANZA        S A I Y C</t>
  </si>
  <si>
    <t>A A ABRASIVOS ARGENTINOS S A I C</t>
  </si>
  <si>
    <t>BOTTAI ALBERTO ARTURO</t>
  </si>
  <si>
    <t>MEDIOS CIFRAS DE BENET JORGE ALBERTO Y GARCIA NANCI MARICEL SOCIEDAD LEY 19550 CAPITULO I SECCION IV</t>
  </si>
  <si>
    <t>COOPERATIVA DE OBRAS Y SERVICIOS PUBLICOS DE DEVOTO LTDA.</t>
  </si>
  <si>
    <t>ESPERANZA COMBUSTIBLES S.A</t>
  </si>
  <si>
    <t>AUTOPISTA PROVINCIAL AP 01 BRIGADIER GENERAL ESTANISLAO LOPEZ FIDEICOMISO</t>
  </si>
  <si>
    <t>PREPAN SOCIEDAD ANONIMA</t>
  </si>
  <si>
    <t>SACCONE SIMON</t>
  </si>
  <si>
    <t>J URETA CORTES Y CIA SRL</t>
  </si>
  <si>
    <t>VILLATA FERNANDO ARIEL</t>
  </si>
  <si>
    <t>RPM CONSUMER GROUP ARGENTINA S.A.</t>
  </si>
  <si>
    <t>CURCIO NEGOCIOS INMOBILIARIOS S. R. L.</t>
  </si>
  <si>
    <t>BERNARDI GUILLERMO LUIS</t>
  </si>
  <si>
    <t>ROSSA GERMAN MARCELO</t>
  </si>
  <si>
    <t>TOTVS ARGENTINA SOCIEDAD ANONIMA</t>
  </si>
  <si>
    <t>CENTRO COMERCIAL E INDUSTRIAL DE POZO DEL MOLLE</t>
  </si>
  <si>
    <t>PIAZZA SRL</t>
  </si>
  <si>
    <t>BOSCH GLADYS MARIA DEL HUE</t>
  </si>
  <si>
    <t>ENIMAR REPRESENTACIONES SRL</t>
  </si>
  <si>
    <t>USD</t>
  </si>
  <si>
    <t>CORREDORES VIALES SOCIEDAD ANONIMA</t>
  </si>
  <si>
    <t>ATILIO O SALAS INMOBILIARIA SRL</t>
  </si>
  <si>
    <t>GIGARED SA</t>
  </si>
  <si>
    <t>DEBONA MARCELO FABIAN VICTOR HUGO DEBONA SH</t>
  </si>
  <si>
    <t>MERCADOLIBRE S.R.L.</t>
  </si>
  <si>
    <t>CEPPI JORGE ENRIQUE</t>
  </si>
  <si>
    <t>F A I P FABRICA AMERICANA INDUSTRIALIZADORA DE PAPELES SOC ANO IND Y COM</t>
  </si>
  <si>
    <t>Doc Completo</t>
  </si>
  <si>
    <t>Unido</t>
  </si>
  <si>
    <t>AFIP IVA</t>
  </si>
  <si>
    <t>TARIS JORGE LUIS</t>
  </si>
  <si>
    <t>CAMARA ARGENTINA DE PINTURERIAS</t>
  </si>
  <si>
    <t>QUIMICA DEL NORTE S A</t>
  </si>
  <si>
    <t>PAINT &amp; DETAIL S.R.L.</t>
  </si>
  <si>
    <t>JACOBO SZWOM E HIJOS SOCIEDAD ANONIMA</t>
  </si>
  <si>
    <t>CORONEL ADRIAN DANILO</t>
  </si>
  <si>
    <t>MANA ALEJANDRO</t>
  </si>
  <si>
    <t>SHERWIN WILLIAMS ARGENTINA I C S A</t>
  </si>
  <si>
    <t>FACHINI MARISA GRACIELA</t>
  </si>
  <si>
    <t>002054</t>
  </si>
  <si>
    <t>002055</t>
  </si>
  <si>
    <t>002265</t>
  </si>
  <si>
    <t>001383</t>
  </si>
  <si>
    <t>VILLATA FERNANDO A.</t>
  </si>
  <si>
    <t>002301</t>
  </si>
  <si>
    <t>000023</t>
  </si>
  <si>
    <t>PAINT &amp; DETAIL SRL</t>
  </si>
  <si>
    <t>000009</t>
  </si>
  <si>
    <t>JACOBO SZWOM E HIJO S.A</t>
  </si>
  <si>
    <t>001419</t>
  </si>
  <si>
    <t>BANCO MACRO S.A. - PRESTAMOS</t>
  </si>
  <si>
    <t>001423</t>
  </si>
  <si>
    <t>001449</t>
  </si>
  <si>
    <t>AFIP Total</t>
  </si>
  <si>
    <t>Cmparacion IVA</t>
  </si>
  <si>
    <t>Cmparacion Total</t>
  </si>
  <si>
    <t>03/10/2025</t>
  </si>
  <si>
    <t>08/10/2025</t>
  </si>
  <si>
    <t>23/10/2025</t>
  </si>
  <si>
    <t>24/10/2025</t>
  </si>
  <si>
    <t>28/10/2025</t>
  </si>
  <si>
    <t>29/10/2025</t>
  </si>
  <si>
    <t>31/10/2025</t>
  </si>
  <si>
    <t>FORNERO SERGIO ARIEL</t>
  </si>
  <si>
    <t>001412</t>
  </si>
  <si>
    <t>PINTURERIAS REX S.A.</t>
  </si>
  <si>
    <t>002349</t>
  </si>
  <si>
    <t>LUCHI ROBERTO RAFAEL</t>
  </si>
  <si>
    <t>01/10/2025</t>
  </si>
  <si>
    <t>002378</t>
  </si>
  <si>
    <t>SEXTO SIGNO S.A.S.</t>
  </si>
  <si>
    <t>CAPASITIO S.A.S.</t>
  </si>
  <si>
    <t>POWERFLEET ARGENTINA S. A.</t>
  </si>
  <si>
    <t>002372</t>
  </si>
  <si>
    <t>CENA VANESA</t>
  </si>
  <si>
    <t>002053</t>
  </si>
  <si>
    <t>Z9999B</t>
  </si>
  <si>
    <t>MARCELO GOTTIG Y CIA  S.A.</t>
  </si>
  <si>
    <t>002415</t>
  </si>
  <si>
    <t>CAPISANO ENRIQUE</t>
  </si>
  <si>
    <t>000300000252</t>
  </si>
  <si>
    <t>001634</t>
  </si>
  <si>
    <t>CLUB ATLETICO ALMA JUNIORS</t>
  </si>
  <si>
    <t>001388</t>
  </si>
  <si>
    <t>CURCIO NEGOCIOS INMOBILIARIOS SRL</t>
  </si>
  <si>
    <t>001430</t>
  </si>
  <si>
    <t>KLOSTER MARCELO ESTEBAN</t>
  </si>
  <si>
    <t>001643</t>
  </si>
  <si>
    <t>LOTTERSBERGER EMANUEL DAVID</t>
  </si>
  <si>
    <t>002394</t>
  </si>
  <si>
    <t>STRADA DIEGO RAUL</t>
  </si>
  <si>
    <t>07/10/2025</t>
  </si>
  <si>
    <t>000015</t>
  </si>
  <si>
    <t>ESCALERAS SIN FIN SOCIEDAD DE HECHO</t>
  </si>
  <si>
    <t>002414</t>
  </si>
  <si>
    <t>PROINAR MATERIALES S. R. L.</t>
  </si>
  <si>
    <t>AKZO NOBEL S.A. - (ACCESORIOS)</t>
  </si>
  <si>
    <t>002473</t>
  </si>
  <si>
    <t>ROBLEDO DANIEL HERNAN</t>
  </si>
  <si>
    <t>002469</t>
  </si>
  <si>
    <t>PCCORE S.R.L.</t>
  </si>
  <si>
    <t>001420</t>
  </si>
  <si>
    <t>VAHUME S.A.</t>
  </si>
  <si>
    <t>002444</t>
  </si>
  <si>
    <t>RAMIREZ AGUSTIN SANTIAGO</t>
  </si>
  <si>
    <t>16/10/2025</t>
  </si>
  <si>
    <t>002186</t>
  </si>
  <si>
    <t>NUESTRO S. A. S.</t>
  </si>
  <si>
    <t>AKZO NOBEL S.A. - (INDUSTRIA)</t>
  </si>
  <si>
    <t>000200000034</t>
  </si>
  <si>
    <t>WEHRLI MARTIN EDUARDO</t>
  </si>
  <si>
    <t>GOMEZ HECTOR ANGEL</t>
  </si>
  <si>
    <t>001812</t>
  </si>
  <si>
    <t>GIGARED</t>
  </si>
  <si>
    <t>27/10/2025</t>
  </si>
  <si>
    <t>001462</t>
  </si>
  <si>
    <t>FACHINI JORGE ALBERTO</t>
  </si>
  <si>
    <t>001740</t>
  </si>
  <si>
    <t>MARTIN PLAST S.A</t>
  </si>
  <si>
    <t>MARTINI VALENTINA</t>
  </si>
  <si>
    <t>30/10/2025</t>
  </si>
  <si>
    <t>ESCALERAS SIN FIN S.R.L.</t>
  </si>
  <si>
    <t>AKZO NOBEL ARGENTINA S.A</t>
  </si>
  <si>
    <t>CELERI PEDRO PABLO</t>
  </si>
  <si>
    <t>LONGONI FABIAN RAUL</t>
  </si>
  <si>
    <t>SINIS S. A.</t>
  </si>
  <si>
    <t>SUÃ‘E LAUTARO</t>
  </si>
  <si>
    <t>SUÃ‘E AGUSTIN</t>
  </si>
  <si>
    <t>SUÃ‘E VALENTIN</t>
  </si>
  <si>
    <t>MARTCOL FOODS SAN FRANCISCO S.A.S.</t>
  </si>
  <si>
    <t>ASOCIACION CENTRO INDUSTRIA, COMERCIO Y AFINCADOS DE ESPERANZA</t>
  </si>
  <si>
    <t>VAHUME  SA</t>
  </si>
  <si>
    <t>LATIN MEDIA SERVICES S.R.L.</t>
  </si>
  <si>
    <t>PINTURERIAS REX S A</t>
  </si>
  <si>
    <t>RENTLIVE SRL</t>
  </si>
  <si>
    <t>COOPERATIVA DE PROVISION DE ENERGIA ELECTRICA Y OTROS SERVICIOS PUBLICOS, VIVIENDA, CREDITO Y SERVIC</t>
  </si>
  <si>
    <t>MARIJO S A</t>
  </si>
  <si>
    <t>CASA BODE S. R. L.</t>
  </si>
  <si>
    <t>LA CASONA DE DOÃ‘A PANCHA S.A.S.</t>
  </si>
  <si>
    <t>MARTIN PLAST S.A.</t>
  </si>
  <si>
    <t>AUTOPISTAS URBANAS S. A.</t>
  </si>
  <si>
    <t>NO</t>
  </si>
  <si>
    <t>22/09/2025</t>
  </si>
  <si>
    <t>000400025904</t>
  </si>
  <si>
    <t>000200007977</t>
  </si>
  <si>
    <t>026700171598</t>
  </si>
  <si>
    <t>000200007985</t>
  </si>
  <si>
    <t>000700219976</t>
  </si>
  <si>
    <t>026700171749</t>
  </si>
  <si>
    <t>002100242470</t>
  </si>
  <si>
    <t>002100242471</t>
  </si>
  <si>
    <t>002100242472</t>
  </si>
  <si>
    <t>002100242473</t>
  </si>
  <si>
    <t>002100242474</t>
  </si>
  <si>
    <t>001400012737</t>
  </si>
  <si>
    <t>026700172109</t>
  </si>
  <si>
    <t>000400026102</t>
  </si>
  <si>
    <t>001000001434</t>
  </si>
  <si>
    <t>000700220693</t>
  </si>
  <si>
    <t>000700220694</t>
  </si>
  <si>
    <t>000700220696</t>
  </si>
  <si>
    <t>000700220822</t>
  </si>
  <si>
    <t>000700220823</t>
  </si>
  <si>
    <t>000700220824</t>
  </si>
  <si>
    <t>000700220825</t>
  </si>
  <si>
    <t>000700220867</t>
  </si>
  <si>
    <t>000700220932</t>
  </si>
  <si>
    <t>000700221057</t>
  </si>
  <si>
    <t>000700221058</t>
  </si>
  <si>
    <t>000700221059</t>
  </si>
  <si>
    <t>000700221060</t>
  </si>
  <si>
    <t>003000037179</t>
  </si>
  <si>
    <t>03/11/2025</t>
  </si>
  <si>
    <t>000200001444</t>
  </si>
  <si>
    <t>000300000847</t>
  </si>
  <si>
    <t>000500001875</t>
  </si>
  <si>
    <t>000900000027</t>
  </si>
  <si>
    <t>020100269929</t>
  </si>
  <si>
    <t>04/11/2025</t>
  </si>
  <si>
    <t>002100242996</t>
  </si>
  <si>
    <t>003200164767</t>
  </si>
  <si>
    <t>020100269948</t>
  </si>
  <si>
    <t>020100269949</t>
  </si>
  <si>
    <t>06/11/2025</t>
  </si>
  <si>
    <t>020100270079</t>
  </si>
  <si>
    <t>07/11/2025</t>
  </si>
  <si>
    <t>000200008028</t>
  </si>
  <si>
    <t>002100243134</t>
  </si>
  <si>
    <t>026700172809</t>
  </si>
  <si>
    <t>10/11/2025</t>
  </si>
  <si>
    <t>003200165238</t>
  </si>
  <si>
    <t>003200165239</t>
  </si>
  <si>
    <t>020100270207</t>
  </si>
  <si>
    <t>026700172857</t>
  </si>
  <si>
    <t>11/11/2025</t>
  </si>
  <si>
    <t>000200001447</t>
  </si>
  <si>
    <t>001300000270</t>
  </si>
  <si>
    <t>001400012898</t>
  </si>
  <si>
    <t>001400012899</t>
  </si>
  <si>
    <t>003200165244</t>
  </si>
  <si>
    <t>003200165245</t>
  </si>
  <si>
    <t>026700172890</t>
  </si>
  <si>
    <t>026700172891</t>
  </si>
  <si>
    <t>026700172892</t>
  </si>
  <si>
    <t>12/11/2025</t>
  </si>
  <si>
    <t>003200165262</t>
  </si>
  <si>
    <t>003200165263</t>
  </si>
  <si>
    <t>003200165264</t>
  </si>
  <si>
    <t>003200165265</t>
  </si>
  <si>
    <t>003200165266</t>
  </si>
  <si>
    <t>13/11/2025</t>
  </si>
  <si>
    <t>002100243455</t>
  </si>
  <si>
    <t>002100243456</t>
  </si>
  <si>
    <t>002100243457</t>
  </si>
  <si>
    <t>002100243458</t>
  </si>
  <si>
    <t>002100243459</t>
  </si>
  <si>
    <t>14/11/2025</t>
  </si>
  <si>
    <t>000400011921</t>
  </si>
  <si>
    <t>000400011922</t>
  </si>
  <si>
    <t>003100063859</t>
  </si>
  <si>
    <t>000101</t>
  </si>
  <si>
    <t>EMAPI S.A</t>
  </si>
  <si>
    <t>007400013709</t>
  </si>
  <si>
    <t>020100270378</t>
  </si>
  <si>
    <t>020100270409</t>
  </si>
  <si>
    <t>17/11/2025</t>
  </si>
  <si>
    <t>000200008038</t>
  </si>
  <si>
    <t>18/11/2025</t>
  </si>
  <si>
    <t>021500002495</t>
  </si>
  <si>
    <t>021500002496</t>
  </si>
  <si>
    <t>19/11/2025</t>
  </si>
  <si>
    <t>021500002498</t>
  </si>
  <si>
    <t>002700000185</t>
  </si>
  <si>
    <t>11/06/2025</t>
  </si>
  <si>
    <t>000300001146</t>
  </si>
  <si>
    <t>000082</t>
  </si>
  <si>
    <t>YPF DON TITO SRL</t>
  </si>
  <si>
    <t>001200034170</t>
  </si>
  <si>
    <t>012100007530</t>
  </si>
  <si>
    <t>002327</t>
  </si>
  <si>
    <t>MERCADO LIBRE SRL</t>
  </si>
  <si>
    <t>007900438031</t>
  </si>
  <si>
    <t>002400017408</t>
  </si>
  <si>
    <t>002500004733</t>
  </si>
  <si>
    <t>003600011879</t>
  </si>
  <si>
    <t>002486</t>
  </si>
  <si>
    <t>MERLO ALFIO JOSE</t>
  </si>
  <si>
    <t>01/11/2025</t>
  </si>
  <si>
    <t>000200000591</t>
  </si>
  <si>
    <t>000200010267</t>
  </si>
  <si>
    <t>000200010332</t>
  </si>
  <si>
    <t>000200010333</t>
  </si>
  <si>
    <t>000200066062</t>
  </si>
  <si>
    <t>000300109597</t>
  </si>
  <si>
    <t>000900000032</t>
  </si>
  <si>
    <t>000300000013</t>
  </si>
  <si>
    <t>000007</t>
  </si>
  <si>
    <t>ARMANDO VANDER WERF S.R.L</t>
  </si>
  <si>
    <t>02/11/2025</t>
  </si>
  <si>
    <t>000200006014</t>
  </si>
  <si>
    <t>001300254957</t>
  </si>
  <si>
    <t>000300002377</t>
  </si>
  <si>
    <t>000100000866</t>
  </si>
  <si>
    <t>000100004340</t>
  </si>
  <si>
    <t>000300010047</t>
  </si>
  <si>
    <t>000859</t>
  </si>
  <si>
    <t>ESTABLECIMIENTOS SANTA JUANA S R L</t>
  </si>
  <si>
    <t>000300015033</t>
  </si>
  <si>
    <t>000300015034</t>
  </si>
  <si>
    <t>000500013081</t>
  </si>
  <si>
    <t>000500013082</t>
  </si>
  <si>
    <t>002492</t>
  </si>
  <si>
    <t>SILVEYRA RODRIGO</t>
  </si>
  <si>
    <t>000600000158</t>
  </si>
  <si>
    <t>000900000997</t>
  </si>
  <si>
    <t>003600011941</t>
  </si>
  <si>
    <t>004300011134</t>
  </si>
  <si>
    <t>021500100298</t>
  </si>
  <si>
    <t>033300124609</t>
  </si>
  <si>
    <t>001902</t>
  </si>
  <si>
    <t>VIA BARILOCHE</t>
  </si>
  <si>
    <t>786600001558</t>
  </si>
  <si>
    <t>000100000098</t>
  </si>
  <si>
    <t>000100000119</t>
  </si>
  <si>
    <t>000100000199</t>
  </si>
  <si>
    <t>000300000143</t>
  </si>
  <si>
    <t>000228</t>
  </si>
  <si>
    <t>BERTRAM JOSE LUIS</t>
  </si>
  <si>
    <t>000300000918</t>
  </si>
  <si>
    <t>002041</t>
  </si>
  <si>
    <t>SCHNEIDER YAZMIN DANA</t>
  </si>
  <si>
    <t>001100002025</t>
  </si>
  <si>
    <t>000200000409</t>
  </si>
  <si>
    <t>002476</t>
  </si>
  <si>
    <t>NESTOR FABIAN DE BIASE</t>
  </si>
  <si>
    <t>000200002021</t>
  </si>
  <si>
    <t>000200002262</t>
  </si>
  <si>
    <t>000200007784</t>
  </si>
  <si>
    <t>000200066088</t>
  </si>
  <si>
    <t>000400005097</t>
  </si>
  <si>
    <t>000400017859</t>
  </si>
  <si>
    <t>001703</t>
  </si>
  <si>
    <t>SONIA N. COMBIN DE BELLINI</t>
  </si>
  <si>
    <t>000500001693</t>
  </si>
  <si>
    <t>001878</t>
  </si>
  <si>
    <t>SUCESION DE DUFEK MARIEL GUADALUPE</t>
  </si>
  <si>
    <t>000600000159</t>
  </si>
  <si>
    <t>002484</t>
  </si>
  <si>
    <t>GIANSANTI ALDO VICTOR</t>
  </si>
  <si>
    <t>000600021852</t>
  </si>
  <si>
    <t>002482</t>
  </si>
  <si>
    <t>BARSAMIAN MATIAS JAVIER</t>
  </si>
  <si>
    <t>000700000222</t>
  </si>
  <si>
    <t>001000016660</t>
  </si>
  <si>
    <t>001100309726</t>
  </si>
  <si>
    <t>001800009317</t>
  </si>
  <si>
    <t>001800282679</t>
  </si>
  <si>
    <t>001900003764</t>
  </si>
  <si>
    <t>003600011961</t>
  </si>
  <si>
    <t>010000065155</t>
  </si>
  <si>
    <t>010000065156</t>
  </si>
  <si>
    <t>021500100311</t>
  </si>
  <si>
    <t>021500100312</t>
  </si>
  <si>
    <t>133101426453</t>
  </si>
  <si>
    <t>000100000253</t>
  </si>
  <si>
    <t>000100000262</t>
  </si>
  <si>
    <t>000300000415</t>
  </si>
  <si>
    <t>05/11/2025</t>
  </si>
  <si>
    <t>000100000792</t>
  </si>
  <si>
    <t>000100000793</t>
  </si>
  <si>
    <t>000100000794</t>
  </si>
  <si>
    <t>000100000795</t>
  </si>
  <si>
    <t>000100000796</t>
  </si>
  <si>
    <t>000200000091</t>
  </si>
  <si>
    <t>002010</t>
  </si>
  <si>
    <t>LOGO GROUP S.A.</t>
  </si>
  <si>
    <t>000200009869</t>
  </si>
  <si>
    <t>000200010326</t>
  </si>
  <si>
    <t>000200010327</t>
  </si>
  <si>
    <t>000200010328</t>
  </si>
  <si>
    <t>000200010330</t>
  </si>
  <si>
    <t>000200010331</t>
  </si>
  <si>
    <t>000300001640</t>
  </si>
  <si>
    <t>000400017885</t>
  </si>
  <si>
    <t>003200254165</t>
  </si>
  <si>
    <t>003200254166</t>
  </si>
  <si>
    <t>002487</t>
  </si>
  <si>
    <t>MALDONADO FERNANDO DANIEL</t>
  </si>
  <si>
    <t>000200000038</t>
  </si>
  <si>
    <t>001758</t>
  </si>
  <si>
    <t>ENGLER ALEJANDRO</t>
  </si>
  <si>
    <t>000300000495</t>
  </si>
  <si>
    <t>000400010152</t>
  </si>
  <si>
    <t>002485</t>
  </si>
  <si>
    <t>FUNDACION INSTITUTO TECNOLOGICO EL MOLINO</t>
  </si>
  <si>
    <t>000800001379</t>
  </si>
  <si>
    <t>001921</t>
  </si>
  <si>
    <t>SPREAFICO JORGE ENRIQUE</t>
  </si>
  <si>
    <t>000200000396</t>
  </si>
  <si>
    <t>000200026237</t>
  </si>
  <si>
    <t>000053</t>
  </si>
  <si>
    <t>WILLINER JUAN JOSE</t>
  </si>
  <si>
    <t>000200039108</t>
  </si>
  <si>
    <t>000294</t>
  </si>
  <si>
    <t>METALURGICA JMD S.A.</t>
  </si>
  <si>
    <t>000300048617</t>
  </si>
  <si>
    <t>002433</t>
  </si>
  <si>
    <t>SOMOS REALES S. R. L</t>
  </si>
  <si>
    <t>000400000060</t>
  </si>
  <si>
    <t>000400000061</t>
  </si>
  <si>
    <t>000400000062</t>
  </si>
  <si>
    <t>000505227865</t>
  </si>
  <si>
    <t>000505228719</t>
  </si>
  <si>
    <t>000505228742</t>
  </si>
  <si>
    <t>003600011999</t>
  </si>
  <si>
    <t>003600012017</t>
  </si>
  <si>
    <t>021500100377</t>
  </si>
  <si>
    <t>026700906383</t>
  </si>
  <si>
    <t>026700906384</t>
  </si>
  <si>
    <t>033300124879</t>
  </si>
  <si>
    <t>000200000501</t>
  </si>
  <si>
    <t>000200002270</t>
  </si>
  <si>
    <t>000200154281</t>
  </si>
  <si>
    <t>002016</t>
  </si>
  <si>
    <t>PANADERIA LA ALIANZA S. R. L</t>
  </si>
  <si>
    <t>000300000121</t>
  </si>
  <si>
    <t>000300001084</t>
  </si>
  <si>
    <t>000300002394</t>
  </si>
  <si>
    <t>000400002656</t>
  </si>
  <si>
    <t>001208</t>
  </si>
  <si>
    <t>TECMEC SUDAMERICA S.A.</t>
  </si>
  <si>
    <t>000800002011</t>
  </si>
  <si>
    <t>001000012250</t>
  </si>
  <si>
    <t>001000012251</t>
  </si>
  <si>
    <t>001800009346</t>
  </si>
  <si>
    <t>002700029623</t>
  </si>
  <si>
    <t>003600012033</t>
  </si>
  <si>
    <t>007900026848</t>
  </si>
  <si>
    <t>395005354505</t>
  </si>
  <si>
    <t>000300000225</t>
  </si>
  <si>
    <t>000200000376</t>
  </si>
  <si>
    <t>000200002585</t>
  </si>
  <si>
    <t>001579</t>
  </si>
  <si>
    <t>STON NORMA BEATRIZ</t>
  </si>
  <si>
    <t>000200007212</t>
  </si>
  <si>
    <t>002309</t>
  </si>
  <si>
    <t>FONTANARROSA DEBORA (IPINT)</t>
  </si>
  <si>
    <t>000300001015</t>
  </si>
  <si>
    <t>000059</t>
  </si>
  <si>
    <t>ALVAREZ RAQUEL REGINA</t>
  </si>
  <si>
    <t>000400003165</t>
  </si>
  <si>
    <t>001624</t>
  </si>
  <si>
    <t>MAINARDI IVES HORACIO</t>
  </si>
  <si>
    <t>000500007473</t>
  </si>
  <si>
    <t>001985</t>
  </si>
  <si>
    <t>HILADOS ESPERANZA S.A.</t>
  </si>
  <si>
    <t>000900002430</t>
  </si>
  <si>
    <t>001814</t>
  </si>
  <si>
    <t>PARPAL SEGURIDAD INDUSTRIAL S.R.L</t>
  </si>
  <si>
    <t>001100074334</t>
  </si>
  <si>
    <t>003200254431</t>
  </si>
  <si>
    <t>021500100483</t>
  </si>
  <si>
    <t>026700906884</t>
  </si>
  <si>
    <t>001787</t>
  </si>
  <si>
    <t>PORTMANN LEANDRO</t>
  </si>
  <si>
    <t>000100000393</t>
  </si>
  <si>
    <t>002488</t>
  </si>
  <si>
    <t>SOSA ARNALDO ANDRES</t>
  </si>
  <si>
    <t>000200000532</t>
  </si>
  <si>
    <t>000400001052</t>
  </si>
  <si>
    <t>000200010371</t>
  </si>
  <si>
    <t>000200010372</t>
  </si>
  <si>
    <t>000200010373</t>
  </si>
  <si>
    <t>000200010374</t>
  </si>
  <si>
    <t>000200010375</t>
  </si>
  <si>
    <t>000200018788</t>
  </si>
  <si>
    <t>000200066203</t>
  </si>
  <si>
    <t>000300000126</t>
  </si>
  <si>
    <t>000300000272</t>
  </si>
  <si>
    <t>000300001053</t>
  </si>
  <si>
    <t>001772</t>
  </si>
  <si>
    <t>ARIEL ROBERTO GALLO</t>
  </si>
  <si>
    <t>000300003869</t>
  </si>
  <si>
    <t>000400041036</t>
  </si>
  <si>
    <t>002013</t>
  </si>
  <si>
    <t>BISOTTO SANDRA MARCELA</t>
  </si>
  <si>
    <t>000600000485</t>
  </si>
  <si>
    <t>000900004096</t>
  </si>
  <si>
    <t>000221</t>
  </si>
  <si>
    <t>DUEL SRL</t>
  </si>
  <si>
    <t>001500014523</t>
  </si>
  <si>
    <t>001800009360</t>
  </si>
  <si>
    <t>002500</t>
  </si>
  <si>
    <t>COOPERATIVA AGROPECUARIA UNION DE JUSTINIANO POSSE LTDA</t>
  </si>
  <si>
    <t>019500012771</t>
  </si>
  <si>
    <t>026700907097</t>
  </si>
  <si>
    <t>026700907098</t>
  </si>
  <si>
    <t>026700907099</t>
  </si>
  <si>
    <t>000200000033</t>
  </si>
  <si>
    <t>000200000593</t>
  </si>
  <si>
    <t>001657</t>
  </si>
  <si>
    <t>BRUNAS FABIAN DARIO</t>
  </si>
  <si>
    <t>000200001309</t>
  </si>
  <si>
    <t>000200013778</t>
  </si>
  <si>
    <t>000033</t>
  </si>
  <si>
    <t>PAPELERA CABERLET (ZANIER MIRIAN)</t>
  </si>
  <si>
    <t>000600005687</t>
  </si>
  <si>
    <t>000700567665</t>
  </si>
  <si>
    <t>000013</t>
  </si>
  <si>
    <t>G Y E S.R.L</t>
  </si>
  <si>
    <t>001000005445</t>
  </si>
  <si>
    <t>000098</t>
  </si>
  <si>
    <t>CAON ATILIO J Y CAON MIGUEL  A S. H</t>
  </si>
  <si>
    <t>002300160575</t>
  </si>
  <si>
    <t>002900020268</t>
  </si>
  <si>
    <t>021900116699</t>
  </si>
  <si>
    <t>026700907315</t>
  </si>
  <si>
    <t>026700907443</t>
  </si>
  <si>
    <t>000300000921</t>
  </si>
  <si>
    <t>000300004149</t>
  </si>
  <si>
    <t>000400005148</t>
  </si>
  <si>
    <t>000400024283</t>
  </si>
  <si>
    <t>001000016759</t>
  </si>
  <si>
    <t>001800009373</t>
  </si>
  <si>
    <t>002800143224</t>
  </si>
  <si>
    <t>002499</t>
  </si>
  <si>
    <t>EDUARDO MATEOS S. R. L.</t>
  </si>
  <si>
    <t>002900004531</t>
  </si>
  <si>
    <t>003200254628</t>
  </si>
  <si>
    <t>003600012119</t>
  </si>
  <si>
    <t>001710</t>
  </si>
  <si>
    <t>MANGOLD PATRICIO DANIEL</t>
  </si>
  <si>
    <t>000200001865</t>
  </si>
  <si>
    <t>000200010397</t>
  </si>
  <si>
    <t>000044</t>
  </si>
  <si>
    <t>GONZALEZ PABLO DANIEL</t>
  </si>
  <si>
    <t>000400000142</t>
  </si>
  <si>
    <t>000919</t>
  </si>
  <si>
    <t>A TODO TARRO S.R.L</t>
  </si>
  <si>
    <t>000400012006</t>
  </si>
  <si>
    <t>000400024295</t>
  </si>
  <si>
    <t>000500001115</t>
  </si>
  <si>
    <t>000700254451</t>
  </si>
  <si>
    <t>000700258497</t>
  </si>
  <si>
    <t>000700567778</t>
  </si>
  <si>
    <t>001000016774</t>
  </si>
  <si>
    <t>001000016777</t>
  </si>
  <si>
    <t>002700029761</t>
  </si>
  <si>
    <t>007900026895</t>
  </si>
  <si>
    <t>011100670187</t>
  </si>
  <si>
    <t>021500100586</t>
  </si>
  <si>
    <t>021500100613</t>
  </si>
  <si>
    <t>026700907868</t>
  </si>
  <si>
    <t>026800040813</t>
  </si>
  <si>
    <t>026800040814</t>
  </si>
  <si>
    <t>001660</t>
  </si>
  <si>
    <t>BURGI JUAN CARLOS</t>
  </si>
  <si>
    <t>000300044682</t>
  </si>
  <si>
    <t>002095</t>
  </si>
  <si>
    <t>CASA ENGLER SRL</t>
  </si>
  <si>
    <t>001200014347</t>
  </si>
  <si>
    <t>001700002672</t>
  </si>
  <si>
    <t>026700907946</t>
  </si>
  <si>
    <t>026700907950</t>
  </si>
  <si>
    <t>026700907951</t>
  </si>
  <si>
    <t>002229</t>
  </si>
  <si>
    <t>PIROPAN YANINA GRACIELA</t>
  </si>
  <si>
    <t>000200000042</t>
  </si>
  <si>
    <t>000200066293</t>
  </si>
  <si>
    <t>000400002670</t>
  </si>
  <si>
    <t>000400024314</t>
  </si>
  <si>
    <t>000400026096</t>
  </si>
  <si>
    <t>000400026097</t>
  </si>
  <si>
    <t>001000016796</t>
  </si>
  <si>
    <t>003200255009</t>
  </si>
  <si>
    <t>002385</t>
  </si>
  <si>
    <t>PEREZ JESICA DAIANA</t>
  </si>
  <si>
    <t>000100000228</t>
  </si>
  <si>
    <t>000300000255</t>
  </si>
  <si>
    <t>001418</t>
  </si>
  <si>
    <t>MORELLO MARCELA GUADALUPE</t>
  </si>
  <si>
    <t>000200000089</t>
  </si>
  <si>
    <t>ROSELES S.A.S</t>
  </si>
  <si>
    <t>000200001569</t>
  </si>
  <si>
    <t>000200010429</t>
  </si>
  <si>
    <t>000200021975</t>
  </si>
  <si>
    <t>000300010158</t>
  </si>
  <si>
    <t>000500003935</t>
  </si>
  <si>
    <t>000500003936</t>
  </si>
  <si>
    <t>000500015298</t>
  </si>
  <si>
    <t>000600005727</t>
  </si>
  <si>
    <t>002100302205</t>
  </si>
  <si>
    <t>002100302206</t>
  </si>
  <si>
    <t>003200255093</t>
  </si>
  <si>
    <t>003200255094</t>
  </si>
  <si>
    <t>003600012209</t>
  </si>
  <si>
    <t>013900006270</t>
  </si>
  <si>
    <t>026800040832</t>
  </si>
  <si>
    <t>BANCO MACRO S.A. - TARJETAS</t>
  </si>
  <si>
    <t>036607672007</t>
  </si>
  <si>
    <t>036607672008</t>
  </si>
  <si>
    <t>000300000925</t>
  </si>
  <si>
    <t>20/11/2025</t>
  </si>
  <si>
    <t>000200000380</t>
  </si>
  <si>
    <t>000200066344</t>
  </si>
  <si>
    <t>002277</t>
  </si>
  <si>
    <t>OCHOA CAPELETTO AUGUSTO XAVIER</t>
  </si>
  <si>
    <t>000300000202</t>
  </si>
  <si>
    <t>000092</t>
  </si>
  <si>
    <t>FONTANA VICTOR JORGE</t>
  </si>
  <si>
    <t>000500005247</t>
  </si>
  <si>
    <t>001000012315</t>
  </si>
  <si>
    <t>001000012316</t>
  </si>
  <si>
    <t>001469</t>
  </si>
  <si>
    <t>PROVIAL SRL</t>
  </si>
  <si>
    <t>001300002682</t>
  </si>
  <si>
    <t>002100302320</t>
  </si>
  <si>
    <t>003600012234</t>
  </si>
  <si>
    <t>026700908552</t>
  </si>
  <si>
    <t>026700908554</t>
  </si>
  <si>
    <t>21/11/2025</t>
  </si>
  <si>
    <t>000100003714</t>
  </si>
  <si>
    <t>000100003716</t>
  </si>
  <si>
    <t>000100003719</t>
  </si>
  <si>
    <t>000100003723</t>
  </si>
  <si>
    <t>000100003727</t>
  </si>
  <si>
    <t>000100011182</t>
  </si>
  <si>
    <t>000100011183</t>
  </si>
  <si>
    <t>000100014754</t>
  </si>
  <si>
    <t>000100014762</t>
  </si>
  <si>
    <t>000100039237</t>
  </si>
  <si>
    <t>000100039238</t>
  </si>
  <si>
    <t>000200066362</t>
  </si>
  <si>
    <t>001810</t>
  </si>
  <si>
    <t>FERNANDEZ ALVAREZ S.A.</t>
  </si>
  <si>
    <t>000300000063</t>
  </si>
  <si>
    <t>001675</t>
  </si>
  <si>
    <t>BRUERA MAURICIO EMILIANO</t>
  </si>
  <si>
    <t>000300001396</t>
  </si>
  <si>
    <t>000600005737</t>
  </si>
  <si>
    <t>002493</t>
  </si>
  <si>
    <t>000900000094</t>
  </si>
  <si>
    <t>001000002025</t>
  </si>
  <si>
    <t>002700029888</t>
  </si>
  <si>
    <t>003200255228</t>
  </si>
  <si>
    <t>003200255229</t>
  </si>
  <si>
    <t>003200255230</t>
  </si>
  <si>
    <t>026700908790</t>
  </si>
  <si>
    <t>026700908923</t>
  </si>
  <si>
    <t>063209532371</t>
  </si>
  <si>
    <t>063209552296</t>
  </si>
  <si>
    <t>001759</t>
  </si>
  <si>
    <t>JOS VAN TOUR SRL</t>
  </si>
  <si>
    <t>25/11/2025</t>
  </si>
  <si>
    <t>000100000415</t>
  </si>
  <si>
    <t>000200000418</t>
  </si>
  <si>
    <t>002494</t>
  </si>
  <si>
    <t>HILLCOM DE COMBIN EXEQUIEL MARTIN Y HILLMANN LAURA ELISABETH</t>
  </si>
  <si>
    <t>000200007329</t>
  </si>
  <si>
    <t>000500001736</t>
  </si>
  <si>
    <t>001457</t>
  </si>
  <si>
    <t>COTILLON EL TUNEL S.A.</t>
  </si>
  <si>
    <t>000500003488</t>
  </si>
  <si>
    <t>000700567976</t>
  </si>
  <si>
    <t>000700568004</t>
  </si>
  <si>
    <t>000700913458</t>
  </si>
  <si>
    <t>002495</t>
  </si>
  <si>
    <t>OPRANDI BRUNO LUIS</t>
  </si>
  <si>
    <t>000800000056</t>
  </si>
  <si>
    <t>001800009457</t>
  </si>
  <si>
    <t>000100000094</t>
  </si>
  <si>
    <t>000100000432</t>
  </si>
  <si>
    <t>002459</t>
  </si>
  <si>
    <t>MARAGLIA CONSTANZA VICTORIA</t>
  </si>
  <si>
    <t>000200000094</t>
  </si>
  <si>
    <t>26/11/2025</t>
  </si>
  <si>
    <t>000200012642</t>
  </si>
  <si>
    <t>001852</t>
  </si>
  <si>
    <t>SUCESION DE VICENTINI ELDO SANTIAGO</t>
  </si>
  <si>
    <t>000300011786</t>
  </si>
  <si>
    <t>000400028975</t>
  </si>
  <si>
    <t>000700043641</t>
  </si>
  <si>
    <t>000700043642</t>
  </si>
  <si>
    <t>000700043643</t>
  </si>
  <si>
    <t>000700043644</t>
  </si>
  <si>
    <t>000700568211</t>
  </si>
  <si>
    <t>000700568218</t>
  </si>
  <si>
    <t>001400006484</t>
  </si>
  <si>
    <t>001400006485</t>
  </si>
  <si>
    <t>002100302529</t>
  </si>
  <si>
    <t>003600012296</t>
  </si>
  <si>
    <t>001864</t>
  </si>
  <si>
    <t>SAWKA CLAUDIA ELENA</t>
  </si>
  <si>
    <t>000200000081</t>
  </si>
  <si>
    <t>27/11/2025</t>
  </si>
  <si>
    <t>000200001590</t>
  </si>
  <si>
    <t>000300000668</t>
  </si>
  <si>
    <t>001937</t>
  </si>
  <si>
    <t>CAMINOS NATALIA GUADALUPE</t>
  </si>
  <si>
    <t>000300006508</t>
  </si>
  <si>
    <t>000500015355</t>
  </si>
  <si>
    <t>001000011367</t>
  </si>
  <si>
    <t>001400023037</t>
  </si>
  <si>
    <t>001400023038</t>
  </si>
  <si>
    <t>002497</t>
  </si>
  <si>
    <t>NADALUTTI LEDA</t>
  </si>
  <si>
    <t>000100000555</t>
  </si>
  <si>
    <t>002496</t>
  </si>
  <si>
    <t>ZEQUIN FACUNDO OMAR</t>
  </si>
  <si>
    <t>000200000107</t>
  </si>
  <si>
    <t>000300000269</t>
  </si>
  <si>
    <t>000300000270</t>
  </si>
  <si>
    <t>001474</t>
  </si>
  <si>
    <t>VARELA BRUNO</t>
  </si>
  <si>
    <t>28/11/2025</t>
  </si>
  <si>
    <t>000300003706</t>
  </si>
  <si>
    <t>000400024424</t>
  </si>
  <si>
    <t>000400024426</t>
  </si>
  <si>
    <t>000500003495</t>
  </si>
  <si>
    <t>002501</t>
  </si>
  <si>
    <t>AVALIS SERGIO DANIEL</t>
  </si>
  <si>
    <t>000700000316</t>
  </si>
  <si>
    <t>002100302691</t>
  </si>
  <si>
    <t>002100302692</t>
  </si>
  <si>
    <t>002100302693</t>
  </si>
  <si>
    <t>001692</t>
  </si>
  <si>
    <t>BONFANTI MARCELO D</t>
  </si>
  <si>
    <t>29/11/2025</t>
  </si>
  <si>
    <t>000600003955</t>
  </si>
  <si>
    <t>006100474717</t>
  </si>
  <si>
    <t>000100000404</t>
  </si>
  <si>
    <t>30/11/2025</t>
  </si>
  <si>
    <t>000300001660</t>
  </si>
  <si>
    <t>002700030061</t>
  </si>
  <si>
    <t>TELECABLE COLOR RINCON SRL</t>
  </si>
  <si>
    <t>AUTOPISTAS DEL SOL S A</t>
  </si>
  <si>
    <t>GRUPO CONCESIONARIO DEL OESTE SA</t>
  </si>
  <si>
    <t>ARMANDO J VANDER WERF S R L</t>
  </si>
  <si>
    <t>COMBIN SONIA NANCI</t>
  </si>
  <si>
    <t>GERARD VANINA</t>
  </si>
  <si>
    <t>DE BIASE NESTOR FABIAN</t>
  </si>
  <si>
    <t>INSTITUTO MUNICIPAL DE INVERSION</t>
  </si>
  <si>
    <t>UNIPASE S. A.</t>
  </si>
  <si>
    <t>METALURGICA J.M.D.   S.A.</t>
  </si>
  <si>
    <t>SOMOS REALES S. R. L.</t>
  </si>
  <si>
    <t>PANADERIA LA ALIANZA S. R. L.</t>
  </si>
  <si>
    <t>BARALE S.A.</t>
  </si>
  <si>
    <t>TECMEC SUDAMERICA SA</t>
  </si>
  <si>
    <t>ALESSO AGUSTIN</t>
  </si>
  <si>
    <t>EMAPI SOCIEDAD ANONIMA</t>
  </si>
  <si>
    <t>FONTANARROSA DEBORA</t>
  </si>
  <si>
    <t>HILADOS ESPERANZA S A</t>
  </si>
  <si>
    <t>PICLES SRL</t>
  </si>
  <si>
    <t>PARPAL SEGURIDAD INDUSTRIAL SRL</t>
  </si>
  <si>
    <t>HUGO BAUTISTA BALBI SOCIEDAD ANONIMA</t>
  </si>
  <si>
    <t>GALLO ARIEL ROBERTO</t>
  </si>
  <si>
    <t>FIRST LABEL S.R.L.</t>
  </si>
  <si>
    <t>LUICO S.A.</t>
  </si>
  <si>
    <t>FAIL ABRAHAM</t>
  </si>
  <si>
    <t>D.ME.D. S.R.L</t>
  </si>
  <si>
    <t>SCHMID ERIKA SILVANA</t>
  </si>
  <si>
    <t>CAUSSI RITA GUADALUPE</t>
  </si>
  <si>
    <t>A TODO TARRO SRL</t>
  </si>
  <si>
    <t>SUMIAGRO CORDOBA S A</t>
  </si>
  <si>
    <t>MURAVSKIS ESTEFANIA AILEN</t>
  </si>
  <si>
    <t>DROVENORT GROUP</t>
  </si>
  <si>
    <t>HASLIBERG SRL</t>
  </si>
  <si>
    <t>RAMIREZ ANDREA SOLEDAD</t>
  </si>
  <si>
    <t>TOLOZA MIRTA GLORIA</t>
  </si>
  <si>
    <t>ARGAIN ARIEL ANTONIO</t>
  </si>
  <si>
    <t>PILAR SHOPS S.A.</t>
  </si>
  <si>
    <t>BRUSA JUAN JOSE</t>
  </si>
  <si>
    <t>PIANETTI ARIEL CESAR</t>
  </si>
  <si>
    <t>PROVIAL S.R.L.</t>
  </si>
  <si>
    <t>ELECTROMAQ DE ROBERTO CARLOS ROMERO Y GERMAN ROMERO SOC HECHO</t>
  </si>
  <si>
    <t>LEVY IOSEF</t>
  </si>
  <si>
    <t>TIMARO SRL</t>
  </si>
  <si>
    <t>CAMARA DE CENTROS DE INSPECCION  VEHICULAR</t>
  </si>
  <si>
    <t>GRUPO FRESHEN S.R.L.</t>
  </si>
  <si>
    <t>AYUSO ILUMINACION S.R.L.</t>
  </si>
  <si>
    <t>OXIGENO UNION SA</t>
  </si>
  <si>
    <t>GEN COMBUSTIBLES SRL</t>
  </si>
  <si>
    <t>SERVICIOS 3P S.A.S.</t>
  </si>
  <si>
    <t>MUNICIPALIDAD DE ESPERANZA</t>
  </si>
  <si>
    <t>VENTIMIGLIA ELIZABETH</t>
  </si>
  <si>
    <t>CENA LILIANA LUCIA</t>
  </si>
  <si>
    <t>RETAMOZO MICHAEL ALBERTO</t>
  </si>
  <si>
    <t>MATEU SPORTS SOCIEDAD ANONIMA</t>
  </si>
  <si>
    <t>CORTELLA SOCIEDAD RESPONSABILIDAD LIMITADA</t>
  </si>
  <si>
    <t>MOGUS S.R.L.</t>
  </si>
  <si>
    <t>NALIB S.R.L.</t>
  </si>
  <si>
    <t>BONFANTI MARCELO DAMIAN</t>
  </si>
  <si>
    <t>FIDO ARGENTINA SRL</t>
  </si>
  <si>
    <t>30562597464000400025904</t>
  </si>
  <si>
    <t>33620532229000200007977</t>
  </si>
  <si>
    <t>30500529454026700171598</t>
  </si>
  <si>
    <t>33620532229000200007985</t>
  </si>
  <si>
    <t>30501044551000700219976</t>
  </si>
  <si>
    <t>30500529454026700171749</t>
  </si>
  <si>
    <t>33522734549002100242470</t>
  </si>
  <si>
    <t>33522734549002100242471</t>
  </si>
  <si>
    <t>33522734549002100242472</t>
  </si>
  <si>
    <t>33522734549002100242473</t>
  </si>
  <si>
    <t>33522734549002100242474</t>
  </si>
  <si>
    <t>30523412236001400012737</t>
  </si>
  <si>
    <t>30500529454026700172109</t>
  </si>
  <si>
    <t>30562597464000400026102</t>
  </si>
  <si>
    <t>30682681108001000001434</t>
  </si>
  <si>
    <t>30501044551000700220693</t>
  </si>
  <si>
    <t>30501044551000700220694</t>
  </si>
  <si>
    <t>30501044551000700220696</t>
  </si>
  <si>
    <t>30501044551000700220822</t>
  </si>
  <si>
    <t>30501044551000700220823</t>
  </si>
  <si>
    <t>30501044551000700220824</t>
  </si>
  <si>
    <t>30501044551000700220825</t>
  </si>
  <si>
    <t>30501044551000700220867</t>
  </si>
  <si>
    <t>30501044551000700220932</t>
  </si>
  <si>
    <t>30501044551000700221057</t>
  </si>
  <si>
    <t>30501044551000700221058</t>
  </si>
  <si>
    <t>30501044551000700221059</t>
  </si>
  <si>
    <t>30501044551000700221060</t>
  </si>
  <si>
    <t>30614967125003000037179</t>
  </si>
  <si>
    <t>30707475222001200034170</t>
  </si>
  <si>
    <t>30521137963012100007530</t>
  </si>
  <si>
    <t>30703088534007900438031</t>
  </si>
  <si>
    <t>30715706934002400017408</t>
  </si>
  <si>
    <t>30715706934002500004733</t>
  </si>
  <si>
    <t>33708336969003600011879</t>
  </si>
  <si>
    <t>33708336969003600011941</t>
  </si>
  <si>
    <t>30643922157786600001558</t>
  </si>
  <si>
    <t>27366557860001100002025</t>
  </si>
  <si>
    <t>30500010084001100309726</t>
  </si>
  <si>
    <t>30500010084001800282679</t>
  </si>
  <si>
    <t>33708336969003600011961</t>
  </si>
  <si>
    <t>30545788167000505227865</t>
  </si>
  <si>
    <t>30545788167000505228719</t>
  </si>
  <si>
    <t>30545788167000505228742</t>
  </si>
  <si>
    <t>33708336969003600011999</t>
  </si>
  <si>
    <t>33708336969003600012017</t>
  </si>
  <si>
    <t>33708336969003600012033</t>
  </si>
  <si>
    <t>27064112517000400003165</t>
  </si>
  <si>
    <t>30693186230001500014523</t>
  </si>
  <si>
    <t>30511534492019500012771</t>
  </si>
  <si>
    <t>27139111589000600005687</t>
  </si>
  <si>
    <t>30601920243002300160575</t>
  </si>
  <si>
    <t>30601920243002900020268</t>
  </si>
  <si>
    <t>30500529071021900116699</t>
  </si>
  <si>
    <t>30548248589002900004531</t>
  </si>
  <si>
    <t>33708336969003600012119</t>
  </si>
  <si>
    <t>30999027489000700254451</t>
  </si>
  <si>
    <t>30999027489000700258497</t>
  </si>
  <si>
    <t>30500008454011100670187</t>
  </si>
  <si>
    <t>30711489734001200014347</t>
  </si>
  <si>
    <t>30707787364001700002672</t>
  </si>
  <si>
    <t>27139111589000600005727</t>
  </si>
  <si>
    <t>33708336969003600012209</t>
  </si>
  <si>
    <t>30521137963013900006270</t>
  </si>
  <si>
    <t>30500010084036607672007</t>
  </si>
  <si>
    <t>30500010084036607672008</t>
  </si>
  <si>
    <t>20062619598000500005247</t>
  </si>
  <si>
    <t>33708336969003600012234</t>
  </si>
  <si>
    <t>30500010912000100003714</t>
  </si>
  <si>
    <t>30500010912000100003716</t>
  </si>
  <si>
    <t>30500010912000100003719</t>
  </si>
  <si>
    <t>30500010912000100003723</t>
  </si>
  <si>
    <t>30500010912000100003727</t>
  </si>
  <si>
    <t>30500010084000100011182</t>
  </si>
  <si>
    <t>30500010084000100011183</t>
  </si>
  <si>
    <t>30500010912000100014754</t>
  </si>
  <si>
    <t>30500010912000100014762</t>
  </si>
  <si>
    <t>30500008454000100039237</t>
  </si>
  <si>
    <t>30500008454000100039238</t>
  </si>
  <si>
    <t>27139111589000600005737</t>
  </si>
  <si>
    <t>30500010084001000002025</t>
  </si>
  <si>
    <t>30500010084063209532371</t>
  </si>
  <si>
    <t>30500010084063209552296</t>
  </si>
  <si>
    <t>30714587753000500003488</t>
  </si>
  <si>
    <t>33708336969003600012296</t>
  </si>
  <si>
    <t>20366558730000300003706</t>
  </si>
  <si>
    <t>30714587753000500003495</t>
  </si>
  <si>
    <t>20145588295000700000316</t>
  </si>
  <si>
    <t>33522734549002100302691</t>
  </si>
  <si>
    <t>33522734549002100302692</t>
  </si>
  <si>
    <t>33522734549002100302693</t>
  </si>
  <si>
    <t>000295</t>
  </si>
  <si>
    <t>HOTEL PARQUE</t>
  </si>
  <si>
    <t>000100000614</t>
  </si>
  <si>
    <t>000235</t>
  </si>
  <si>
    <t>000500000496</t>
  </si>
  <si>
    <t>002170</t>
  </si>
  <si>
    <t>011300016279</t>
  </si>
  <si>
    <t>011900006427</t>
  </si>
  <si>
    <t>002294</t>
  </si>
  <si>
    <t>ESSA S.R.L.</t>
  </si>
  <si>
    <t>001100070853</t>
  </si>
  <si>
    <t>001947</t>
  </si>
  <si>
    <t>PENTACOMB S.A.</t>
  </si>
  <si>
    <t>006300038018</t>
  </si>
  <si>
    <t>002343</t>
  </si>
  <si>
    <t>LA CASONA DE DOÑA PANCHA S.A.S</t>
  </si>
  <si>
    <t>000100001001</t>
  </si>
  <si>
    <t>001847</t>
  </si>
  <si>
    <t>000300001503</t>
  </si>
  <si>
    <t>000500000497</t>
  </si>
  <si>
    <t>000073</t>
  </si>
  <si>
    <t>DECAFIP SRL</t>
  </si>
  <si>
    <t>002100016487</t>
  </si>
  <si>
    <t>002200056838</t>
  </si>
  <si>
    <t>000132</t>
  </si>
  <si>
    <t>ECHANIZ HERMANOS S. A</t>
  </si>
  <si>
    <t>014200013446</t>
  </si>
  <si>
    <t>002321</t>
  </si>
  <si>
    <t>VILLAFASI HNOS. S.A.S.</t>
  </si>
  <si>
    <t>000300005226</t>
  </si>
  <si>
    <t>002050</t>
  </si>
  <si>
    <t>MAXIMO PRIMERO S.A.</t>
  </si>
  <si>
    <t>000400007607</t>
  </si>
  <si>
    <t>002061</t>
  </si>
  <si>
    <t>AIMETTA CAROLINA LUCIA</t>
  </si>
  <si>
    <t>003400047281</t>
  </si>
  <si>
    <t>002171</t>
  </si>
  <si>
    <t>SOFUN S.R.L</t>
  </si>
  <si>
    <t>000300000766</t>
  </si>
  <si>
    <t>000100000620</t>
  </si>
  <si>
    <t>002506</t>
  </si>
  <si>
    <t>LOTUSRB S.A.S.</t>
  </si>
  <si>
    <t>000200000059</t>
  </si>
  <si>
    <t>000500015165</t>
  </si>
  <si>
    <t>011500008814</t>
  </si>
  <si>
    <t>002300022485</t>
  </si>
  <si>
    <t>002375</t>
  </si>
  <si>
    <t>000300015537</t>
  </si>
  <si>
    <t>000500000500</t>
  </si>
  <si>
    <t>000230</t>
  </si>
  <si>
    <t>000400002700</t>
  </si>
  <si>
    <t>000700007315</t>
  </si>
  <si>
    <t>006300038241</t>
  </si>
  <si>
    <t>000036</t>
  </si>
  <si>
    <t>AZUL COMBUSTIBLES S.A</t>
  </si>
  <si>
    <t>010600007225</t>
  </si>
  <si>
    <t>003400047651</t>
  </si>
  <si>
    <t>000300001522</t>
  </si>
  <si>
    <t>000500015214</t>
  </si>
  <si>
    <t>002002</t>
  </si>
  <si>
    <t>BARALE S.A</t>
  </si>
  <si>
    <t>002500054028</t>
  </si>
  <si>
    <t>014400019033</t>
  </si>
  <si>
    <t>000500000503</t>
  </si>
  <si>
    <t>000505232537</t>
  </si>
  <si>
    <t>000505233052</t>
  </si>
  <si>
    <t>000400002708</t>
  </si>
  <si>
    <t>000505235841</t>
  </si>
  <si>
    <t>000505236016</t>
  </si>
  <si>
    <t>002140</t>
  </si>
  <si>
    <t>000700001812</t>
  </si>
  <si>
    <t>002300042857</t>
  </si>
  <si>
    <t>010600007234</t>
  </si>
  <si>
    <t>001414</t>
  </si>
  <si>
    <t>AGUAS SANTAFESINAS S.A.</t>
  </si>
  <si>
    <t>020001488950</t>
  </si>
  <si>
    <t>002122</t>
  </si>
  <si>
    <t>MARTCOL FOODS SAN FRANCISCO S.A.S</t>
  </si>
  <si>
    <t>000100003963</t>
  </si>
  <si>
    <t>002300022705</t>
  </si>
  <si>
    <t>000300001532</t>
  </si>
  <si>
    <t>000500000508</t>
  </si>
  <si>
    <t>000076</t>
  </si>
  <si>
    <t>MOVIMIENTOS Y SERVICIOS SOCIEDAD ANONIMA</t>
  </si>
  <si>
    <t>003100003719</t>
  </si>
  <si>
    <t>002069</t>
  </si>
  <si>
    <t>003400044679</t>
  </si>
  <si>
    <t>014400019216</t>
  </si>
  <si>
    <t>002071</t>
  </si>
  <si>
    <t>000100000365</t>
  </si>
  <si>
    <t>000505237454</t>
  </si>
  <si>
    <t>000505237906</t>
  </si>
  <si>
    <t>001900003800</t>
  </si>
  <si>
    <t>002100016745</t>
  </si>
  <si>
    <t>002300043009</t>
  </si>
  <si>
    <t>000090</t>
  </si>
  <si>
    <t>000300003695</t>
  </si>
  <si>
    <t>000500000509</t>
  </si>
  <si>
    <t>000115</t>
  </si>
  <si>
    <t>EL CRUCE SRL</t>
  </si>
  <si>
    <t>001900045622</t>
  </si>
  <si>
    <t>001665</t>
  </si>
  <si>
    <t>EUGENIO DEFAGO SAC</t>
  </si>
  <si>
    <t>003800090067</t>
  </si>
  <si>
    <t>011500009269</t>
  </si>
  <si>
    <t>FIBER CORP - TELECOM</t>
  </si>
  <si>
    <t>426406127492</t>
  </si>
  <si>
    <t>426406134179</t>
  </si>
  <si>
    <t>426406145012</t>
  </si>
  <si>
    <t>426406146533</t>
  </si>
  <si>
    <t>426406153564</t>
  </si>
  <si>
    <t>426406155565</t>
  </si>
  <si>
    <t>426406160351</t>
  </si>
  <si>
    <t>000300001539</t>
  </si>
  <si>
    <t>000224</t>
  </si>
  <si>
    <t>000400001608</t>
  </si>
  <si>
    <t>000079</t>
  </si>
  <si>
    <t>LA BALLESTA SRL</t>
  </si>
  <si>
    <t>001300006398</t>
  </si>
  <si>
    <t>002508</t>
  </si>
  <si>
    <t>CAPIOVI S.R.L.</t>
  </si>
  <si>
    <t>001400063288</t>
  </si>
  <si>
    <t>000197</t>
  </si>
  <si>
    <t>FANTIN PEDRO  MANUEL</t>
  </si>
  <si>
    <t>002000019878</t>
  </si>
  <si>
    <t>002300022808</t>
  </si>
  <si>
    <t>010600007247</t>
  </si>
  <si>
    <t>002094</t>
  </si>
  <si>
    <t>LUIS A CARRIZO Y CIA SRL</t>
  </si>
  <si>
    <t>018900038129</t>
  </si>
  <si>
    <t>002139</t>
  </si>
  <si>
    <t>000100003822</t>
  </si>
  <si>
    <t>000600429357</t>
  </si>
  <si>
    <t>000600429827</t>
  </si>
  <si>
    <t>002507</t>
  </si>
  <si>
    <t>001000003257</t>
  </si>
  <si>
    <t>000127</t>
  </si>
  <si>
    <t>BELL GAS  S. A</t>
  </si>
  <si>
    <t>002800044332</t>
  </si>
  <si>
    <t>002900005796</t>
  </si>
  <si>
    <t>020001490733</t>
  </si>
  <si>
    <t>020001490999</t>
  </si>
  <si>
    <t>020001491737</t>
  </si>
  <si>
    <t>020001492005</t>
  </si>
  <si>
    <t>020001493360</t>
  </si>
  <si>
    <t>020001494820</t>
  </si>
  <si>
    <t>000300004205</t>
  </si>
  <si>
    <t>000505248546</t>
  </si>
  <si>
    <t>003100003735</t>
  </si>
  <si>
    <t>000100000385</t>
  </si>
  <si>
    <t>000700574133</t>
  </si>
  <si>
    <t>000700585198</t>
  </si>
  <si>
    <t>000200000385</t>
  </si>
  <si>
    <t>002377</t>
  </si>
  <si>
    <t>COOPERATIVA DE PROVISION DE ENERGIA ELECTRICA Y OTROS SERVICIOS PUBLIC</t>
  </si>
  <si>
    <t>001000065671</t>
  </si>
  <si>
    <t>003600012329</t>
  </si>
  <si>
    <t>003600012351</t>
  </si>
  <si>
    <t>001700002733</t>
  </si>
  <si>
    <t>001987</t>
  </si>
  <si>
    <t>IKIGAI SERVICIOS  SRL</t>
  </si>
  <si>
    <t>002300003750</t>
  </si>
  <si>
    <t>Z9999O</t>
  </si>
  <si>
    <t>GROSS SERGIO FABIAN</t>
  </si>
  <si>
    <t>000200001053</t>
  </si>
  <si>
    <t>20183925599000100000614</t>
  </si>
  <si>
    <t>20177699889000500000496</t>
  </si>
  <si>
    <t>30698548289011300016279</t>
  </si>
  <si>
    <t>30521137963011900006427</t>
  </si>
  <si>
    <t>30708442166001100070853</t>
  </si>
  <si>
    <t>30707394028006300038018</t>
  </si>
  <si>
    <t>30718634802000100001001</t>
  </si>
  <si>
    <t>20162895142000300001503</t>
  </si>
  <si>
    <t>20177699889000500000497</t>
  </si>
  <si>
    <t>30530197413002100016487</t>
  </si>
  <si>
    <t>30530197413002200056838</t>
  </si>
  <si>
    <t>30668473241014200013446</t>
  </si>
  <si>
    <t>30717843777000300005226</t>
  </si>
  <si>
    <t>33717507059000400007607</t>
  </si>
  <si>
    <t>27181146317003400047281</t>
  </si>
  <si>
    <t>30718158210000300000766</t>
  </si>
  <si>
    <t>20183925599000100000620</t>
  </si>
  <si>
    <t>30718330498000200000059</t>
  </si>
  <si>
    <t>23066238849000500015165</t>
  </si>
  <si>
    <t>30698548289011500008814</t>
  </si>
  <si>
    <t>30715706934002300022485</t>
  </si>
  <si>
    <t>30707787364000700007315</t>
  </si>
  <si>
    <t>30707394028006300038241</t>
  </si>
  <si>
    <t>30690887661010600007225</t>
  </si>
  <si>
    <t>27181146317003400047651</t>
  </si>
  <si>
    <t>30668473241014400019033</t>
  </si>
  <si>
    <t>30545788167000505232537</t>
  </si>
  <si>
    <t>30545788167000505233052</t>
  </si>
  <si>
    <t>30545788167000505235841</t>
  </si>
  <si>
    <t>30545788167000505236016</t>
  </si>
  <si>
    <t>30690887661010600007234</t>
  </si>
  <si>
    <t>30709514144020001488950</t>
  </si>
  <si>
    <t>30634539154003100003719</t>
  </si>
  <si>
    <t>30668473241014400019216</t>
  </si>
  <si>
    <t>30545788167000505237454</t>
  </si>
  <si>
    <t>30545788167000505237906</t>
  </si>
  <si>
    <t>33710012909001900045622</t>
  </si>
  <si>
    <t>30581275710003800090067</t>
  </si>
  <si>
    <t>30710951949001300006398</t>
  </si>
  <si>
    <t>30711908818001400063288</t>
  </si>
  <si>
    <t>20129015277002000019878</t>
  </si>
  <si>
    <t>30690887661010600007247</t>
  </si>
  <si>
    <t>30627062490018900038129</t>
  </si>
  <si>
    <t>30545692763000600429357</t>
  </si>
  <si>
    <t>30545692763000600429827</t>
  </si>
  <si>
    <t>30668314313002800044332</t>
  </si>
  <si>
    <t>30668314313002900005796</t>
  </si>
  <si>
    <t>30709514144020001490733</t>
  </si>
  <si>
    <t>30709514144020001490999</t>
  </si>
  <si>
    <t>30709514144020001491737</t>
  </si>
  <si>
    <t>30709514144020001492005</t>
  </si>
  <si>
    <t>30709514144020001493360</t>
  </si>
  <si>
    <t>30709514144020001494820</t>
  </si>
  <si>
    <t>30545788167000505248546</t>
  </si>
  <si>
    <t>30634539154003100003735</t>
  </si>
  <si>
    <t>30999027489000700574133</t>
  </si>
  <si>
    <t>30999027489000700585198</t>
  </si>
  <si>
    <t>33708336969003600012329</t>
  </si>
  <si>
    <t>33708336969003600012351</t>
  </si>
  <si>
    <t>30707787364001700002733</t>
  </si>
  <si>
    <t>30716472716002300003750</t>
  </si>
  <si>
    <t>23179973219000200001053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</si>
</sst>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0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43">
    <xf numFmtId="0" fontId="0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44" fontId="19" fillId="0" borderId="0" xfId="1" applyFont="1" applyAlignment="1">
      <alignment horizontal="center" vertical="center"/>
    </xf>
    <xf numFmtId="44" fontId="18" fillId="0" borderId="0" xfId="1" applyFont="1" applyAlignment="1">
      <alignment horizontal="center" vertical="center"/>
    </xf>
    <xf numFmtId="44" fontId="19" fillId="34" borderId="10" xfId="1" applyFont="1" applyFill="1" applyBorder="1" applyAlignment="1">
      <alignment horizontal="center" vertical="center"/>
    </xf>
    <xf numFmtId="44" fontId="18" fillId="34" borderId="0" xfId="1" applyFont="1" applyFill="1" applyAlignment="1">
      <alignment horizontal="center" vertical="center"/>
    </xf>
    <xf numFmtId="44" fontId="19" fillId="0" borderId="11" xfId="1" applyFont="1" applyBorder="1" applyAlignment="1">
      <alignment horizontal="center" vertical="center"/>
    </xf>
    <xf numFmtId="44" fontId="18" fillId="0" borderId="11" xfId="1" applyFont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 customBuiltin="1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8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3BF3-C832-4F2B-B310-540F07E79035}">
  <sheetPr filterMode="1"/>
  <dimension ref="A1:W601"/>
  <sheetViews>
    <sheetView topLeftCell="C577" workbookViewId="0">
      <selection activeCell="H601" sqref="H601"/>
    </sheetView>
  </sheetViews>
  <sheetFormatPr baseColWidth="10" defaultColWidth="14.375" defaultRowHeight="10.8" x14ac:dyDescent="0.25"/>
  <cols>
    <col min="1" max="1" width="14.25" style="1" customWidth="1"/>
    <col min="2" max="2" width="51.875" style="1" bestFit="1" customWidth="1"/>
    <col min="3" max="3" width="2.625" style="1" bestFit="1" customWidth="1"/>
    <col min="4" max="4" width="12" style="1" bestFit="1" customWidth="1"/>
    <col min="5" max="5" width="3.125" style="1" bestFit="1" customWidth="1"/>
    <col min="6" max="6" width="8.875" style="1" bestFit="1" customWidth="1"/>
    <col min="7" max="7" width="3.75" style="1" bestFit="1" customWidth="1"/>
    <col min="8" max="8" width="4.875" style="1" bestFit="1" customWidth="1"/>
    <col min="9" max="9" width="11.375" style="1" bestFit="1" customWidth="1"/>
    <col min="10" max="10" width="4.75" style="1" bestFit="1" customWidth="1"/>
    <col min="11" max="11" width="13.75" style="12" bestFit="1" customWidth="1"/>
    <col min="12" max="12" width="10.5" style="1" bestFit="1" customWidth="1"/>
    <col min="13" max="13" width="11.125" style="1" bestFit="1" customWidth="1"/>
    <col min="14" max="14" width="12.875" style="12" bestFit="1" customWidth="1"/>
    <col min="15" max="15" width="8.25" style="1" bestFit="1" customWidth="1"/>
    <col min="16" max="16" width="8.625" style="1" bestFit="1" customWidth="1"/>
    <col min="17" max="17" width="9.625" style="1" bestFit="1" customWidth="1"/>
    <col min="18" max="18" width="11.375" style="1" bestFit="1" customWidth="1"/>
    <col min="19" max="19" width="21.25" style="8" bestFit="1" customWidth="1"/>
    <col min="20" max="20" width="14.375" style="14"/>
    <col min="21" max="22" width="14.375" style="10"/>
    <col min="23" max="16384" width="14.375" style="1"/>
  </cols>
  <sheetData>
    <row r="1" spans="1:23" s="4" customFormat="1" ht="11.4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3" t="s">
        <v>11</v>
      </c>
      <c r="M1" s="3" t="s">
        <v>12</v>
      </c>
      <c r="N1" s="11" t="s">
        <v>4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215</v>
      </c>
      <c r="T1" s="13" t="s">
        <v>216</v>
      </c>
      <c r="U1" s="9" t="s">
        <v>241</v>
      </c>
      <c r="V1" s="9" t="s">
        <v>240</v>
      </c>
      <c r="W1" s="9" t="s">
        <v>242</v>
      </c>
    </row>
    <row r="2" spans="1:23" ht="11.4" thickTop="1" x14ac:dyDescent="0.25">
      <c r="A2" s="1" t="s">
        <v>47</v>
      </c>
      <c r="B2" s="1" t="s">
        <v>48</v>
      </c>
      <c r="C2" s="1" t="s">
        <v>19</v>
      </c>
      <c r="D2" s="1">
        <v>30562597464</v>
      </c>
      <c r="E2" s="1" t="s">
        <v>20</v>
      </c>
      <c r="F2" s="1" t="s">
        <v>329</v>
      </c>
      <c r="G2" s="1" t="s">
        <v>21</v>
      </c>
      <c r="H2" s="1" t="s">
        <v>22</v>
      </c>
      <c r="I2" s="1" t="s">
        <v>330</v>
      </c>
      <c r="J2" s="2">
        <v>21</v>
      </c>
      <c r="K2" s="12">
        <v>-459949.14</v>
      </c>
      <c r="L2" s="2">
        <v>-380123.26</v>
      </c>
      <c r="M2" s="2">
        <v>0</v>
      </c>
      <c r="N2" s="12">
        <v>-79825.88</v>
      </c>
      <c r="O2" s="2">
        <v>0</v>
      </c>
      <c r="P2" s="2">
        <v>0</v>
      </c>
      <c r="Q2" s="2">
        <v>0</v>
      </c>
      <c r="R2" s="2">
        <v>0</v>
      </c>
      <c r="S2" s="8" t="str">
        <f>D2&amp;I2</f>
        <v>30562597464000400025904</v>
      </c>
      <c r="T2" s="14" t="str">
        <f>IFERROR(VLOOKUP(S2,AFIP!$F$2:$R$999999,12,FALSE),"NO")</f>
        <v>NO</v>
      </c>
      <c r="U2" s="10" t="str">
        <f>IF(N2=T2,"SI","NO")</f>
        <v>NO</v>
      </c>
      <c r="V2" s="10" t="str">
        <f>IFERROR(VLOOKUP(S2,AFIP!$F$2:$R$999999,13,FALSE),"NO")</f>
        <v>NO</v>
      </c>
      <c r="W2" s="1" t="str">
        <f>IF(K2=V2,"SI","NO")</f>
        <v>NO</v>
      </c>
    </row>
    <row r="3" spans="1:23" x14ac:dyDescent="0.25">
      <c r="A3" s="1" t="s">
        <v>279</v>
      </c>
      <c r="B3" s="1" t="s">
        <v>280</v>
      </c>
      <c r="C3" s="1" t="s">
        <v>19</v>
      </c>
      <c r="D3" s="1">
        <v>33620532229</v>
      </c>
      <c r="E3" s="1" t="s">
        <v>20</v>
      </c>
      <c r="F3" s="1" t="s">
        <v>255</v>
      </c>
      <c r="G3" s="1" t="s">
        <v>21</v>
      </c>
      <c r="H3" s="1" t="s">
        <v>22</v>
      </c>
      <c r="I3" s="1" t="s">
        <v>331</v>
      </c>
      <c r="J3" s="2">
        <v>21</v>
      </c>
      <c r="K3" s="12">
        <v>-206388.15</v>
      </c>
      <c r="L3" s="2">
        <v>-170568.72</v>
      </c>
      <c r="M3" s="2">
        <v>0</v>
      </c>
      <c r="N3" s="12">
        <v>-35819.43</v>
      </c>
      <c r="O3" s="2">
        <v>0</v>
      </c>
      <c r="P3" s="2">
        <v>0</v>
      </c>
      <c r="Q3" s="2">
        <v>0</v>
      </c>
      <c r="R3" s="2">
        <v>0</v>
      </c>
      <c r="S3" s="8" t="str">
        <f t="shared" ref="S3:S66" si="0">D3&amp;I3</f>
        <v>33620532229000200007977</v>
      </c>
      <c r="T3" s="14" t="str">
        <f>IFERROR(VLOOKUP(S3,AFIP!$F$2:$R$999999,12,FALSE),"NO")</f>
        <v>NO</v>
      </c>
      <c r="U3" s="10" t="str">
        <f t="shared" ref="U3:U66" si="1">IF(N3=T3,"SI","NO")</f>
        <v>NO</v>
      </c>
      <c r="V3" s="10" t="str">
        <f>IFERROR(VLOOKUP(S3,AFIP!$F$2:$R$999999,13,FALSE),"NO")</f>
        <v>NO</v>
      </c>
      <c r="W3" s="1" t="str">
        <f t="shared" ref="W3:W66" si="2">IF(K3=V3,"SI","NO")</f>
        <v>NO</v>
      </c>
    </row>
    <row r="4" spans="1:23" x14ac:dyDescent="0.25">
      <c r="A4" s="1" t="s">
        <v>17</v>
      </c>
      <c r="B4" s="1" t="s">
        <v>18</v>
      </c>
      <c r="C4" s="1" t="s">
        <v>19</v>
      </c>
      <c r="D4" s="1">
        <v>30500529454</v>
      </c>
      <c r="E4" s="1" t="s">
        <v>20</v>
      </c>
      <c r="F4" s="1" t="s">
        <v>243</v>
      </c>
      <c r="G4" s="1" t="s">
        <v>21</v>
      </c>
      <c r="H4" s="1" t="s">
        <v>22</v>
      </c>
      <c r="I4" s="1" t="s">
        <v>332</v>
      </c>
      <c r="J4" s="2">
        <v>21</v>
      </c>
      <c r="K4" s="12">
        <v>-207657.9</v>
      </c>
      <c r="L4" s="2">
        <v>-97841.1</v>
      </c>
      <c r="M4" s="2">
        <v>0</v>
      </c>
      <c r="N4" s="12">
        <v>-20546.64</v>
      </c>
      <c r="O4" s="2">
        <v>-2935.23</v>
      </c>
      <c r="P4" s="2">
        <v>-2446.0300000000002</v>
      </c>
      <c r="Q4" s="2">
        <v>-83888.9</v>
      </c>
      <c r="R4" s="2">
        <v>0</v>
      </c>
      <c r="S4" s="8" t="str">
        <f t="shared" si="0"/>
        <v>30500529454026700171598</v>
      </c>
      <c r="T4" s="14" t="str">
        <f>IFERROR(VLOOKUP(S4,AFIP!$F$2:$R$999999,12,FALSE),"NO")</f>
        <v>NO</v>
      </c>
      <c r="U4" s="10" t="str">
        <f t="shared" si="1"/>
        <v>NO</v>
      </c>
      <c r="V4" s="10" t="str">
        <f>IFERROR(VLOOKUP(S4,AFIP!$F$2:$R$999999,13,FALSE),"NO")</f>
        <v>NO</v>
      </c>
      <c r="W4" s="1" t="str">
        <f t="shared" si="2"/>
        <v>NO</v>
      </c>
    </row>
    <row r="5" spans="1:23" x14ac:dyDescent="0.25">
      <c r="A5" s="1" t="s">
        <v>279</v>
      </c>
      <c r="B5" s="1" t="s">
        <v>280</v>
      </c>
      <c r="C5" s="1" t="s">
        <v>19</v>
      </c>
      <c r="D5" s="1">
        <v>33620532229</v>
      </c>
      <c r="E5" s="1" t="s">
        <v>20</v>
      </c>
      <c r="F5" s="1" t="s">
        <v>278</v>
      </c>
      <c r="G5" s="1" t="s">
        <v>21</v>
      </c>
      <c r="H5" s="1" t="s">
        <v>22</v>
      </c>
      <c r="I5" s="1" t="s">
        <v>333</v>
      </c>
      <c r="J5" s="2">
        <v>21</v>
      </c>
      <c r="K5" s="12">
        <v>-1506196.02</v>
      </c>
      <c r="L5" s="2">
        <v>-1244790.1000000001</v>
      </c>
      <c r="M5" s="2">
        <v>0</v>
      </c>
      <c r="N5" s="12">
        <v>-261405.92</v>
      </c>
      <c r="O5" s="2">
        <v>0</v>
      </c>
      <c r="P5" s="2">
        <v>0</v>
      </c>
      <c r="Q5" s="2">
        <v>0</v>
      </c>
      <c r="R5" s="2">
        <v>0</v>
      </c>
      <c r="S5" s="8" t="str">
        <f t="shared" si="0"/>
        <v>33620532229000200007985</v>
      </c>
      <c r="T5" s="14" t="str">
        <f>IFERROR(VLOOKUP(S5,AFIP!$F$2:$R$999999,12,FALSE),"NO")</f>
        <v>NO</v>
      </c>
      <c r="U5" s="10" t="str">
        <f t="shared" si="1"/>
        <v>NO</v>
      </c>
      <c r="V5" s="10" t="str">
        <f>IFERROR(VLOOKUP(S5,AFIP!$F$2:$R$999999,13,FALSE),"NO")</f>
        <v>NO</v>
      </c>
      <c r="W5" s="1" t="str">
        <f t="shared" si="2"/>
        <v>NO</v>
      </c>
    </row>
    <row r="6" spans="1:23" x14ac:dyDescent="0.25">
      <c r="A6" s="1" t="s">
        <v>27</v>
      </c>
      <c r="B6" s="1" t="s">
        <v>28</v>
      </c>
      <c r="C6" s="1" t="s">
        <v>19</v>
      </c>
      <c r="D6" s="1">
        <v>30501044551</v>
      </c>
      <c r="E6" s="1" t="s">
        <v>20</v>
      </c>
      <c r="F6" s="1" t="s">
        <v>244</v>
      </c>
      <c r="G6" s="1" t="s">
        <v>21</v>
      </c>
      <c r="H6" s="1" t="s">
        <v>22</v>
      </c>
      <c r="I6" s="1" t="s">
        <v>334</v>
      </c>
      <c r="J6" s="2">
        <v>21</v>
      </c>
      <c r="K6" s="12">
        <v>-126936.9</v>
      </c>
      <c r="L6" s="2">
        <v>-30431.38</v>
      </c>
      <c r="M6" s="2">
        <v>0</v>
      </c>
      <c r="N6" s="12">
        <v>-6390.59</v>
      </c>
      <c r="O6" s="2">
        <v>-912.94</v>
      </c>
      <c r="P6" s="2">
        <v>-760.78</v>
      </c>
      <c r="Q6" s="2">
        <v>-88441.21</v>
      </c>
      <c r="R6" s="2">
        <v>0</v>
      </c>
      <c r="S6" s="8" t="str">
        <f t="shared" si="0"/>
        <v>30501044551000700219976</v>
      </c>
      <c r="T6" s="14" t="str">
        <f>IFERROR(VLOOKUP(S6,AFIP!$F$2:$R$999999,12,FALSE),"NO")</f>
        <v>NO</v>
      </c>
      <c r="U6" s="10" t="str">
        <f t="shared" si="1"/>
        <v>NO</v>
      </c>
      <c r="V6" s="10" t="str">
        <f>IFERROR(VLOOKUP(S6,AFIP!$F$2:$R$999999,13,FALSE),"NO")</f>
        <v>NO</v>
      </c>
      <c r="W6" s="1" t="str">
        <f t="shared" si="2"/>
        <v>NO</v>
      </c>
    </row>
    <row r="7" spans="1:23" x14ac:dyDescent="0.25">
      <c r="A7" s="1" t="s">
        <v>17</v>
      </c>
      <c r="B7" s="1" t="s">
        <v>18</v>
      </c>
      <c r="C7" s="1" t="s">
        <v>19</v>
      </c>
      <c r="D7" s="1">
        <v>30500529454</v>
      </c>
      <c r="E7" s="1" t="s">
        <v>20</v>
      </c>
      <c r="F7" s="1" t="s">
        <v>292</v>
      </c>
      <c r="G7" s="1" t="s">
        <v>21</v>
      </c>
      <c r="H7" s="1" t="s">
        <v>22</v>
      </c>
      <c r="I7" s="1" t="s">
        <v>335</v>
      </c>
      <c r="J7" s="2">
        <v>21</v>
      </c>
      <c r="K7" s="12">
        <v>-75705.97</v>
      </c>
      <c r="L7" s="2">
        <v>-62566.92</v>
      </c>
      <c r="M7" s="2">
        <v>0</v>
      </c>
      <c r="N7" s="12">
        <v>-13139.05</v>
      </c>
      <c r="O7" s="2">
        <v>0</v>
      </c>
      <c r="P7" s="2">
        <v>0</v>
      </c>
      <c r="Q7" s="2">
        <v>0</v>
      </c>
      <c r="R7" s="2">
        <v>0</v>
      </c>
      <c r="S7" s="8" t="str">
        <f t="shared" si="0"/>
        <v>30500529454026700171749</v>
      </c>
      <c r="T7" s="14" t="str">
        <f>IFERROR(VLOOKUP(S7,AFIP!$F$2:$R$999999,12,FALSE),"NO")</f>
        <v>NO</v>
      </c>
      <c r="U7" s="10" t="str">
        <f t="shared" si="1"/>
        <v>NO</v>
      </c>
      <c r="V7" s="10" t="str">
        <f>IFERROR(VLOOKUP(S7,AFIP!$F$2:$R$999999,13,FALSE),"NO")</f>
        <v>NO</v>
      </c>
      <c r="W7" s="1" t="str">
        <f t="shared" si="2"/>
        <v>NO</v>
      </c>
    </row>
    <row r="8" spans="1:23" x14ac:dyDescent="0.25">
      <c r="A8" s="1" t="s">
        <v>35</v>
      </c>
      <c r="B8" s="1" t="s">
        <v>36</v>
      </c>
      <c r="C8" s="1" t="s">
        <v>19</v>
      </c>
      <c r="D8" s="1">
        <v>33522734549</v>
      </c>
      <c r="E8" s="1" t="s">
        <v>20</v>
      </c>
      <c r="F8" s="1" t="s">
        <v>245</v>
      </c>
      <c r="G8" s="1" t="s">
        <v>21</v>
      </c>
      <c r="H8" s="1" t="s">
        <v>22</v>
      </c>
      <c r="I8" s="1" t="s">
        <v>336</v>
      </c>
      <c r="J8" s="2">
        <v>21</v>
      </c>
      <c r="K8" s="12">
        <v>-1668181.71</v>
      </c>
      <c r="L8" s="2">
        <v>-1345307.84</v>
      </c>
      <c r="M8" s="2">
        <v>0</v>
      </c>
      <c r="N8" s="12">
        <v>-282514.64</v>
      </c>
      <c r="O8" s="2">
        <v>-40359.230000000003</v>
      </c>
      <c r="P8" s="2">
        <v>0</v>
      </c>
      <c r="Q8" s="2">
        <v>0</v>
      </c>
      <c r="R8" s="2">
        <v>0</v>
      </c>
      <c r="S8" s="8" t="str">
        <f t="shared" si="0"/>
        <v>33522734549002100242470</v>
      </c>
      <c r="T8" s="14" t="str">
        <f>IFERROR(VLOOKUP(S8,AFIP!$F$2:$R$999999,12,FALSE),"NO")</f>
        <v>NO</v>
      </c>
      <c r="U8" s="10" t="str">
        <f t="shared" si="1"/>
        <v>NO</v>
      </c>
      <c r="V8" s="10" t="str">
        <f>IFERROR(VLOOKUP(S8,AFIP!$F$2:$R$999999,13,FALSE),"NO")</f>
        <v>NO</v>
      </c>
      <c r="W8" s="1" t="str">
        <f t="shared" si="2"/>
        <v>NO</v>
      </c>
    </row>
    <row r="9" spans="1:23" x14ac:dyDescent="0.25">
      <c r="A9" s="1" t="s">
        <v>35</v>
      </c>
      <c r="B9" s="1" t="s">
        <v>36</v>
      </c>
      <c r="C9" s="1" t="s">
        <v>19</v>
      </c>
      <c r="D9" s="1">
        <v>33522734549</v>
      </c>
      <c r="E9" s="1" t="s">
        <v>20</v>
      </c>
      <c r="F9" s="1" t="s">
        <v>245</v>
      </c>
      <c r="G9" s="1" t="s">
        <v>21</v>
      </c>
      <c r="H9" s="1" t="s">
        <v>22</v>
      </c>
      <c r="I9" s="1" t="s">
        <v>337</v>
      </c>
      <c r="J9" s="2">
        <v>21</v>
      </c>
      <c r="K9" s="12">
        <v>-2276867.92</v>
      </c>
      <c r="L9" s="2">
        <v>-1836183.81</v>
      </c>
      <c r="M9" s="2">
        <v>0</v>
      </c>
      <c r="N9" s="12">
        <v>-385598.6</v>
      </c>
      <c r="O9" s="2">
        <v>-55085.51</v>
      </c>
      <c r="P9" s="2">
        <v>0</v>
      </c>
      <c r="Q9" s="2">
        <v>0</v>
      </c>
      <c r="R9" s="2">
        <v>0</v>
      </c>
      <c r="S9" s="8" t="str">
        <f t="shared" si="0"/>
        <v>33522734549002100242471</v>
      </c>
      <c r="T9" s="14" t="str">
        <f>IFERROR(VLOOKUP(S9,AFIP!$F$2:$R$999999,12,FALSE),"NO")</f>
        <v>NO</v>
      </c>
      <c r="U9" s="10" t="str">
        <f t="shared" si="1"/>
        <v>NO</v>
      </c>
      <c r="V9" s="10" t="str">
        <f>IFERROR(VLOOKUP(S9,AFIP!$F$2:$R$999999,13,FALSE),"NO")</f>
        <v>NO</v>
      </c>
      <c r="W9" s="1" t="str">
        <f t="shared" si="2"/>
        <v>NO</v>
      </c>
    </row>
    <row r="10" spans="1:23" x14ac:dyDescent="0.25">
      <c r="A10" s="1" t="s">
        <v>35</v>
      </c>
      <c r="B10" s="1" t="s">
        <v>36</v>
      </c>
      <c r="C10" s="1" t="s">
        <v>19</v>
      </c>
      <c r="D10" s="1">
        <v>33522734549</v>
      </c>
      <c r="E10" s="1" t="s">
        <v>20</v>
      </c>
      <c r="F10" s="1" t="s">
        <v>245</v>
      </c>
      <c r="G10" s="1" t="s">
        <v>21</v>
      </c>
      <c r="H10" s="1" t="s">
        <v>22</v>
      </c>
      <c r="I10" s="1" t="s">
        <v>338</v>
      </c>
      <c r="J10" s="2">
        <v>21</v>
      </c>
      <c r="K10" s="12">
        <v>-5106.0200000000004</v>
      </c>
      <c r="L10" s="2">
        <v>-4117.76</v>
      </c>
      <c r="M10" s="2">
        <v>0</v>
      </c>
      <c r="N10" s="12">
        <v>-864.73</v>
      </c>
      <c r="O10" s="2">
        <v>-123.53</v>
      </c>
      <c r="P10" s="2">
        <v>0</v>
      </c>
      <c r="Q10" s="2">
        <v>0</v>
      </c>
      <c r="R10" s="2">
        <v>0</v>
      </c>
      <c r="S10" s="8" t="str">
        <f t="shared" si="0"/>
        <v>33522734549002100242472</v>
      </c>
      <c r="T10" s="14" t="str">
        <f>IFERROR(VLOOKUP(S10,AFIP!$F$2:$R$999999,12,FALSE),"NO")</f>
        <v>NO</v>
      </c>
      <c r="U10" s="10" t="str">
        <f t="shared" si="1"/>
        <v>NO</v>
      </c>
      <c r="V10" s="10" t="str">
        <f>IFERROR(VLOOKUP(S10,AFIP!$F$2:$R$999999,13,FALSE),"NO")</f>
        <v>NO</v>
      </c>
      <c r="W10" s="1" t="str">
        <f t="shared" si="2"/>
        <v>NO</v>
      </c>
    </row>
    <row r="11" spans="1:23" x14ac:dyDescent="0.25">
      <c r="A11" s="1" t="s">
        <v>35</v>
      </c>
      <c r="B11" s="1" t="s">
        <v>36</v>
      </c>
      <c r="C11" s="1" t="s">
        <v>19</v>
      </c>
      <c r="D11" s="1">
        <v>33522734549</v>
      </c>
      <c r="E11" s="1" t="s">
        <v>20</v>
      </c>
      <c r="F11" s="1" t="s">
        <v>245</v>
      </c>
      <c r="G11" s="1" t="s">
        <v>21</v>
      </c>
      <c r="H11" s="1" t="s">
        <v>22</v>
      </c>
      <c r="I11" s="1" t="s">
        <v>339</v>
      </c>
      <c r="J11" s="2">
        <v>21</v>
      </c>
      <c r="K11" s="12">
        <v>-26593.75</v>
      </c>
      <c r="L11" s="2">
        <v>-21446.57</v>
      </c>
      <c r="M11" s="2">
        <v>0</v>
      </c>
      <c r="N11" s="12">
        <v>-4503.78</v>
      </c>
      <c r="O11" s="2">
        <v>-643.4</v>
      </c>
      <c r="P11" s="2">
        <v>0</v>
      </c>
      <c r="Q11" s="2">
        <v>0</v>
      </c>
      <c r="R11" s="2">
        <v>0</v>
      </c>
      <c r="S11" s="8" t="str">
        <f t="shared" si="0"/>
        <v>33522734549002100242473</v>
      </c>
      <c r="T11" s="14" t="str">
        <f>IFERROR(VLOOKUP(S11,AFIP!$F$2:$R$999999,12,FALSE),"NO")</f>
        <v>NO</v>
      </c>
      <c r="U11" s="10" t="str">
        <f t="shared" si="1"/>
        <v>NO</v>
      </c>
      <c r="V11" s="10" t="str">
        <f>IFERROR(VLOOKUP(S11,AFIP!$F$2:$R$999999,13,FALSE),"NO")</f>
        <v>NO</v>
      </c>
      <c r="W11" s="1" t="str">
        <f t="shared" si="2"/>
        <v>NO</v>
      </c>
    </row>
    <row r="12" spans="1:23" x14ac:dyDescent="0.25">
      <c r="A12" s="1" t="s">
        <v>35</v>
      </c>
      <c r="B12" s="1" t="s">
        <v>36</v>
      </c>
      <c r="C12" s="1" t="s">
        <v>19</v>
      </c>
      <c r="D12" s="1">
        <v>33522734549</v>
      </c>
      <c r="E12" s="1" t="s">
        <v>20</v>
      </c>
      <c r="F12" s="1" t="s">
        <v>245</v>
      </c>
      <c r="G12" s="1" t="s">
        <v>21</v>
      </c>
      <c r="H12" s="1" t="s">
        <v>22</v>
      </c>
      <c r="I12" s="1" t="s">
        <v>340</v>
      </c>
      <c r="J12" s="2">
        <v>21</v>
      </c>
      <c r="K12" s="12">
        <v>-383572.04</v>
      </c>
      <c r="L12" s="2">
        <v>-309332.28999999998</v>
      </c>
      <c r="M12" s="2">
        <v>0</v>
      </c>
      <c r="N12" s="12">
        <v>-64959.78</v>
      </c>
      <c r="O12" s="2">
        <v>-9279.9699999999993</v>
      </c>
      <c r="P12" s="2">
        <v>0</v>
      </c>
      <c r="Q12" s="2">
        <v>0</v>
      </c>
      <c r="R12" s="2">
        <v>0</v>
      </c>
      <c r="S12" s="8" t="str">
        <f t="shared" si="0"/>
        <v>33522734549002100242474</v>
      </c>
      <c r="T12" s="14" t="str">
        <f>IFERROR(VLOOKUP(S12,AFIP!$F$2:$R$999999,12,FALSE),"NO")</f>
        <v>NO</v>
      </c>
      <c r="U12" s="10" t="str">
        <f t="shared" si="1"/>
        <v>NO</v>
      </c>
      <c r="V12" s="10" t="str">
        <f>IFERROR(VLOOKUP(S12,AFIP!$F$2:$R$999999,13,FALSE),"NO")</f>
        <v>NO</v>
      </c>
      <c r="W12" s="1" t="str">
        <f t="shared" si="2"/>
        <v>NO</v>
      </c>
    </row>
    <row r="13" spans="1:23" x14ac:dyDescent="0.25">
      <c r="A13" s="1" t="s">
        <v>49</v>
      </c>
      <c r="B13" s="1" t="s">
        <v>50</v>
      </c>
      <c r="C13" s="1" t="s">
        <v>19</v>
      </c>
      <c r="D13" s="1">
        <v>30523412236</v>
      </c>
      <c r="E13" s="1" t="s">
        <v>20</v>
      </c>
      <c r="F13" s="1" t="s">
        <v>246</v>
      </c>
      <c r="G13" s="1" t="s">
        <v>21</v>
      </c>
      <c r="H13" s="1" t="s">
        <v>22</v>
      </c>
      <c r="I13" s="1" t="s">
        <v>341</v>
      </c>
      <c r="J13" s="2">
        <v>21</v>
      </c>
      <c r="K13" s="12">
        <v>-1089740.02</v>
      </c>
      <c r="L13" s="2">
        <v>-900611.59</v>
      </c>
      <c r="M13" s="2">
        <v>0</v>
      </c>
      <c r="N13" s="12">
        <v>-189128.43</v>
      </c>
      <c r="O13" s="2">
        <v>0</v>
      </c>
      <c r="P13" s="2">
        <v>0</v>
      </c>
      <c r="Q13" s="2">
        <v>0</v>
      </c>
      <c r="R13" s="2">
        <v>0</v>
      </c>
      <c r="S13" s="8" t="str">
        <f t="shared" si="0"/>
        <v>30523412236001400012737</v>
      </c>
      <c r="T13" s="14" t="str">
        <f>IFERROR(VLOOKUP(S13,AFIP!$F$2:$R$999999,12,FALSE),"NO")</f>
        <v>NO</v>
      </c>
      <c r="U13" s="10" t="str">
        <f t="shared" si="1"/>
        <v>NO</v>
      </c>
      <c r="V13" s="10" t="str">
        <f>IFERROR(VLOOKUP(S13,AFIP!$F$2:$R$999999,13,FALSE),"NO")</f>
        <v>NO</v>
      </c>
      <c r="W13" s="1" t="str">
        <f t="shared" si="2"/>
        <v>NO</v>
      </c>
    </row>
    <row r="14" spans="1:23" x14ac:dyDescent="0.25">
      <c r="A14" s="1" t="s">
        <v>17</v>
      </c>
      <c r="B14" s="1" t="s">
        <v>18</v>
      </c>
      <c r="C14" s="1" t="s">
        <v>19</v>
      </c>
      <c r="D14" s="1">
        <v>30500529454</v>
      </c>
      <c r="E14" s="1" t="s">
        <v>20</v>
      </c>
      <c r="F14" s="1" t="s">
        <v>246</v>
      </c>
      <c r="G14" s="1" t="s">
        <v>21</v>
      </c>
      <c r="H14" s="1" t="s">
        <v>22</v>
      </c>
      <c r="I14" s="1" t="s">
        <v>342</v>
      </c>
      <c r="J14" s="2">
        <v>21</v>
      </c>
      <c r="K14" s="12">
        <v>-1919999.99</v>
      </c>
      <c r="L14" s="2">
        <v>-1586776.85</v>
      </c>
      <c r="M14" s="2">
        <v>0</v>
      </c>
      <c r="N14" s="12">
        <v>-333223.14</v>
      </c>
      <c r="O14" s="2">
        <v>0</v>
      </c>
      <c r="P14" s="2">
        <v>0</v>
      </c>
      <c r="Q14" s="2">
        <v>0</v>
      </c>
      <c r="R14" s="2">
        <v>0</v>
      </c>
      <c r="S14" s="8" t="str">
        <f t="shared" si="0"/>
        <v>30500529454026700172109</v>
      </c>
      <c r="T14" s="14" t="str">
        <f>IFERROR(VLOOKUP(S14,AFIP!$F$2:$R$999999,12,FALSE),"NO")</f>
        <v>NO</v>
      </c>
      <c r="U14" s="10" t="str">
        <f t="shared" si="1"/>
        <v>NO</v>
      </c>
      <c r="V14" s="10" t="str">
        <f>IFERROR(VLOOKUP(S14,AFIP!$F$2:$R$999999,13,FALSE),"NO")</f>
        <v>NO</v>
      </c>
      <c r="W14" s="1" t="str">
        <f t="shared" si="2"/>
        <v>NO</v>
      </c>
    </row>
    <row r="15" spans="1:23" x14ac:dyDescent="0.25">
      <c r="A15" s="1" t="s">
        <v>47</v>
      </c>
      <c r="B15" s="1" t="s">
        <v>48</v>
      </c>
      <c r="C15" s="1" t="s">
        <v>19</v>
      </c>
      <c r="D15" s="1">
        <v>30562597464</v>
      </c>
      <c r="E15" s="1" t="s">
        <v>20</v>
      </c>
      <c r="F15" s="1" t="s">
        <v>301</v>
      </c>
      <c r="G15" s="1" t="s">
        <v>21</v>
      </c>
      <c r="H15" s="1" t="s">
        <v>22</v>
      </c>
      <c r="I15" s="1" t="s">
        <v>343</v>
      </c>
      <c r="J15" s="2">
        <v>21</v>
      </c>
      <c r="K15" s="12">
        <v>-422422.42</v>
      </c>
      <c r="L15" s="2">
        <v>-349109.44</v>
      </c>
      <c r="M15" s="2">
        <v>0</v>
      </c>
      <c r="N15" s="12">
        <v>-73312.98</v>
      </c>
      <c r="O15" s="2">
        <v>0</v>
      </c>
      <c r="P15" s="2">
        <v>0</v>
      </c>
      <c r="Q15" s="2">
        <v>0</v>
      </c>
      <c r="R15" s="2">
        <v>0</v>
      </c>
      <c r="S15" s="8" t="str">
        <f t="shared" si="0"/>
        <v>30562597464000400026102</v>
      </c>
      <c r="T15" s="14" t="str">
        <f>IFERROR(VLOOKUP(S15,AFIP!$F$2:$R$999999,12,FALSE),"NO")</f>
        <v>NO</v>
      </c>
      <c r="U15" s="10" t="str">
        <f t="shared" si="1"/>
        <v>NO</v>
      </c>
      <c r="V15" s="10" t="str">
        <f>IFERROR(VLOOKUP(S15,AFIP!$F$2:$R$999999,13,FALSE),"NO")</f>
        <v>NO</v>
      </c>
      <c r="W15" s="1" t="str">
        <f t="shared" si="2"/>
        <v>NO</v>
      </c>
    </row>
    <row r="16" spans="1:23" x14ac:dyDescent="0.25">
      <c r="A16" s="1" t="s">
        <v>133</v>
      </c>
      <c r="B16" s="1" t="s">
        <v>134</v>
      </c>
      <c r="C16" s="1" t="s">
        <v>19</v>
      </c>
      <c r="D16" s="1">
        <v>30682681108</v>
      </c>
      <c r="E16" s="1" t="s">
        <v>20</v>
      </c>
      <c r="F16" s="1" t="s">
        <v>301</v>
      </c>
      <c r="G16" s="1" t="s">
        <v>21</v>
      </c>
      <c r="H16" s="1" t="s">
        <v>22</v>
      </c>
      <c r="I16" s="1" t="s">
        <v>344</v>
      </c>
      <c r="J16" s="2">
        <v>21</v>
      </c>
      <c r="K16" s="12">
        <v>-631148.46</v>
      </c>
      <c r="L16" s="2">
        <v>-521613.72</v>
      </c>
      <c r="M16" s="2">
        <v>0</v>
      </c>
      <c r="N16" s="12">
        <v>-109534.74</v>
      </c>
      <c r="O16" s="2">
        <v>0</v>
      </c>
      <c r="P16" s="2">
        <v>0</v>
      </c>
      <c r="Q16" s="2">
        <v>0</v>
      </c>
      <c r="R16" s="2">
        <v>0</v>
      </c>
      <c r="S16" s="8" t="str">
        <f t="shared" si="0"/>
        <v>30682681108001000001434</v>
      </c>
      <c r="T16" s="14" t="str">
        <f>IFERROR(VLOOKUP(S16,AFIP!$F$2:$R$999999,12,FALSE),"NO")</f>
        <v>NO</v>
      </c>
      <c r="U16" s="10" t="str">
        <f t="shared" si="1"/>
        <v>NO</v>
      </c>
      <c r="V16" s="10" t="str">
        <f>IFERROR(VLOOKUP(S16,AFIP!$F$2:$R$999999,13,FALSE),"NO")</f>
        <v>NO</v>
      </c>
      <c r="W16" s="1" t="str">
        <f t="shared" si="2"/>
        <v>NO</v>
      </c>
    </row>
    <row r="17" spans="1:23" x14ac:dyDescent="0.25">
      <c r="A17" s="1" t="s">
        <v>27</v>
      </c>
      <c r="B17" s="1" t="s">
        <v>28</v>
      </c>
      <c r="C17" s="1" t="s">
        <v>19</v>
      </c>
      <c r="D17" s="1">
        <v>30501044551</v>
      </c>
      <c r="E17" s="1" t="s">
        <v>20</v>
      </c>
      <c r="F17" s="1" t="s">
        <v>247</v>
      </c>
      <c r="G17" s="1" t="s">
        <v>21</v>
      </c>
      <c r="H17" s="1" t="s">
        <v>22</v>
      </c>
      <c r="I17" s="1" t="s">
        <v>345</v>
      </c>
      <c r="J17" s="2">
        <v>21</v>
      </c>
      <c r="K17" s="12">
        <v>-1819.55</v>
      </c>
      <c r="L17" s="2">
        <v>-1503.76</v>
      </c>
      <c r="M17" s="2">
        <v>0</v>
      </c>
      <c r="N17" s="12">
        <v>-315.79000000000002</v>
      </c>
      <c r="O17" s="2">
        <v>0</v>
      </c>
      <c r="P17" s="2">
        <v>0</v>
      </c>
      <c r="Q17" s="2">
        <v>0</v>
      </c>
      <c r="R17" s="2">
        <v>0</v>
      </c>
      <c r="S17" s="8" t="str">
        <f t="shared" si="0"/>
        <v>30501044551000700220693</v>
      </c>
      <c r="T17" s="14" t="str">
        <f>IFERROR(VLOOKUP(S17,AFIP!$F$2:$R$999999,12,FALSE),"NO")</f>
        <v>NO</v>
      </c>
      <c r="U17" s="10" t="str">
        <f t="shared" si="1"/>
        <v>NO</v>
      </c>
      <c r="V17" s="10" t="str">
        <f>IFERROR(VLOOKUP(S17,AFIP!$F$2:$R$999999,13,FALSE),"NO")</f>
        <v>NO</v>
      </c>
      <c r="W17" s="1" t="str">
        <f t="shared" si="2"/>
        <v>NO</v>
      </c>
    </row>
    <row r="18" spans="1:23" x14ac:dyDescent="0.25">
      <c r="A18" s="1" t="s">
        <v>27</v>
      </c>
      <c r="B18" s="1" t="s">
        <v>28</v>
      </c>
      <c r="C18" s="1" t="s">
        <v>19</v>
      </c>
      <c r="D18" s="1">
        <v>30501044551</v>
      </c>
      <c r="E18" s="1" t="s">
        <v>20</v>
      </c>
      <c r="F18" s="1" t="s">
        <v>247</v>
      </c>
      <c r="G18" s="1" t="s">
        <v>21</v>
      </c>
      <c r="H18" s="1" t="s">
        <v>22</v>
      </c>
      <c r="I18" s="1" t="s">
        <v>346</v>
      </c>
      <c r="J18" s="2">
        <v>21</v>
      </c>
      <c r="K18" s="12">
        <v>-13711.53</v>
      </c>
      <c r="L18" s="2">
        <v>-11331.84</v>
      </c>
      <c r="M18" s="2">
        <v>0</v>
      </c>
      <c r="N18" s="12">
        <v>-2379.69</v>
      </c>
      <c r="O18" s="2">
        <v>0</v>
      </c>
      <c r="P18" s="2">
        <v>0</v>
      </c>
      <c r="Q18" s="2">
        <v>0</v>
      </c>
      <c r="R18" s="2">
        <v>0</v>
      </c>
      <c r="S18" s="8" t="str">
        <f t="shared" si="0"/>
        <v>30501044551000700220694</v>
      </c>
      <c r="T18" s="14" t="str">
        <f>IFERROR(VLOOKUP(S18,AFIP!$F$2:$R$999999,12,FALSE),"NO")</f>
        <v>NO</v>
      </c>
      <c r="U18" s="10" t="str">
        <f t="shared" si="1"/>
        <v>NO</v>
      </c>
      <c r="V18" s="10" t="str">
        <f>IFERROR(VLOOKUP(S18,AFIP!$F$2:$R$999999,13,FALSE),"NO")</f>
        <v>NO</v>
      </c>
      <c r="W18" s="1" t="str">
        <f t="shared" si="2"/>
        <v>NO</v>
      </c>
    </row>
    <row r="19" spans="1:23" x14ac:dyDescent="0.25">
      <c r="A19" s="1" t="s">
        <v>27</v>
      </c>
      <c r="B19" s="1" t="s">
        <v>28</v>
      </c>
      <c r="C19" s="1" t="s">
        <v>19</v>
      </c>
      <c r="D19" s="1">
        <v>30501044551</v>
      </c>
      <c r="E19" s="1" t="s">
        <v>20</v>
      </c>
      <c r="F19" s="1" t="s">
        <v>247</v>
      </c>
      <c r="G19" s="1" t="s">
        <v>21</v>
      </c>
      <c r="H19" s="1" t="s">
        <v>22</v>
      </c>
      <c r="I19" s="1" t="s">
        <v>347</v>
      </c>
      <c r="J19" s="2">
        <v>21</v>
      </c>
      <c r="K19" s="12">
        <v>-76758.75</v>
      </c>
      <c r="L19" s="2">
        <v>-63436.98</v>
      </c>
      <c r="M19" s="2">
        <v>0</v>
      </c>
      <c r="N19" s="12">
        <v>-13321.77</v>
      </c>
      <c r="O19" s="2">
        <v>0</v>
      </c>
      <c r="P19" s="2">
        <v>0</v>
      </c>
      <c r="Q19" s="2">
        <v>0</v>
      </c>
      <c r="R19" s="2">
        <v>0</v>
      </c>
      <c r="S19" s="8" t="str">
        <f t="shared" si="0"/>
        <v>30501044551000700220696</v>
      </c>
      <c r="T19" s="14" t="str">
        <f>IFERROR(VLOOKUP(S19,AFIP!$F$2:$R$999999,12,FALSE),"NO")</f>
        <v>NO</v>
      </c>
      <c r="U19" s="10" t="str">
        <f t="shared" si="1"/>
        <v>NO</v>
      </c>
      <c r="V19" s="10" t="str">
        <f>IFERROR(VLOOKUP(S19,AFIP!$F$2:$R$999999,13,FALSE),"NO")</f>
        <v>NO</v>
      </c>
      <c r="W19" s="1" t="str">
        <f t="shared" si="2"/>
        <v>NO</v>
      </c>
    </row>
    <row r="20" spans="1:23" x14ac:dyDescent="0.25">
      <c r="A20" s="1" t="s">
        <v>27</v>
      </c>
      <c r="B20" s="1" t="s">
        <v>28</v>
      </c>
      <c r="C20" s="1" t="s">
        <v>19</v>
      </c>
      <c r="D20" s="1">
        <v>30501044551</v>
      </c>
      <c r="E20" s="1" t="s">
        <v>20</v>
      </c>
      <c r="F20" s="1" t="s">
        <v>248</v>
      </c>
      <c r="G20" s="1" t="s">
        <v>21</v>
      </c>
      <c r="H20" s="1" t="s">
        <v>22</v>
      </c>
      <c r="I20" s="1" t="s">
        <v>348</v>
      </c>
      <c r="J20" s="2">
        <v>21</v>
      </c>
      <c r="K20" s="12">
        <v>-7566.95</v>
      </c>
      <c r="L20" s="2">
        <v>-6253.68</v>
      </c>
      <c r="M20" s="2">
        <v>0</v>
      </c>
      <c r="N20" s="12">
        <v>-1313.27</v>
      </c>
      <c r="O20" s="2">
        <v>0</v>
      </c>
      <c r="P20" s="2">
        <v>0</v>
      </c>
      <c r="Q20" s="2">
        <v>0</v>
      </c>
      <c r="R20" s="2">
        <v>0</v>
      </c>
      <c r="S20" s="8" t="str">
        <f t="shared" si="0"/>
        <v>30501044551000700220822</v>
      </c>
      <c r="T20" s="14" t="str">
        <f>IFERROR(VLOOKUP(S20,AFIP!$F$2:$R$999999,12,FALSE),"NO")</f>
        <v>NO</v>
      </c>
      <c r="U20" s="10" t="str">
        <f t="shared" si="1"/>
        <v>NO</v>
      </c>
      <c r="V20" s="10" t="str">
        <f>IFERROR(VLOOKUP(S20,AFIP!$F$2:$R$999999,13,FALSE),"NO")</f>
        <v>NO</v>
      </c>
      <c r="W20" s="1" t="str">
        <f t="shared" si="2"/>
        <v>NO</v>
      </c>
    </row>
    <row r="21" spans="1:23" x14ac:dyDescent="0.25">
      <c r="A21" s="1" t="s">
        <v>27</v>
      </c>
      <c r="B21" s="1" t="s">
        <v>28</v>
      </c>
      <c r="C21" s="1" t="s">
        <v>19</v>
      </c>
      <c r="D21" s="1">
        <v>30501044551</v>
      </c>
      <c r="E21" s="1" t="s">
        <v>20</v>
      </c>
      <c r="F21" s="1" t="s">
        <v>248</v>
      </c>
      <c r="G21" s="1" t="s">
        <v>21</v>
      </c>
      <c r="H21" s="1" t="s">
        <v>22</v>
      </c>
      <c r="I21" s="1" t="s">
        <v>349</v>
      </c>
      <c r="J21" s="2">
        <v>21</v>
      </c>
      <c r="K21" s="12">
        <v>-34163.269999999997</v>
      </c>
      <c r="L21" s="2">
        <v>-28234.11</v>
      </c>
      <c r="M21" s="2">
        <v>0</v>
      </c>
      <c r="N21" s="12">
        <v>-5929.16</v>
      </c>
      <c r="O21" s="2">
        <v>0</v>
      </c>
      <c r="P21" s="2">
        <v>0</v>
      </c>
      <c r="Q21" s="2">
        <v>0</v>
      </c>
      <c r="R21" s="2">
        <v>0</v>
      </c>
      <c r="S21" s="8" t="str">
        <f t="shared" si="0"/>
        <v>30501044551000700220823</v>
      </c>
      <c r="T21" s="14" t="str">
        <f>IFERROR(VLOOKUP(S21,AFIP!$F$2:$R$999999,12,FALSE),"NO")</f>
        <v>NO</v>
      </c>
      <c r="U21" s="10" t="str">
        <f t="shared" si="1"/>
        <v>NO</v>
      </c>
      <c r="V21" s="10" t="str">
        <f>IFERROR(VLOOKUP(S21,AFIP!$F$2:$R$999999,13,FALSE),"NO")</f>
        <v>NO</v>
      </c>
      <c r="W21" s="1" t="str">
        <f t="shared" si="2"/>
        <v>NO</v>
      </c>
    </row>
    <row r="22" spans="1:23" x14ac:dyDescent="0.25">
      <c r="A22" s="1" t="s">
        <v>27</v>
      </c>
      <c r="B22" s="1" t="s">
        <v>28</v>
      </c>
      <c r="C22" s="1" t="s">
        <v>19</v>
      </c>
      <c r="D22" s="1">
        <v>30501044551</v>
      </c>
      <c r="E22" s="1" t="s">
        <v>20</v>
      </c>
      <c r="F22" s="1" t="s">
        <v>248</v>
      </c>
      <c r="G22" s="1" t="s">
        <v>21</v>
      </c>
      <c r="H22" s="1" t="s">
        <v>22</v>
      </c>
      <c r="I22" s="1" t="s">
        <v>350</v>
      </c>
      <c r="J22" s="2">
        <v>21</v>
      </c>
      <c r="K22" s="12">
        <v>-16851.5</v>
      </c>
      <c r="L22" s="2">
        <v>-13926.86</v>
      </c>
      <c r="M22" s="2">
        <v>0</v>
      </c>
      <c r="N22" s="12">
        <v>-2924.64</v>
      </c>
      <c r="O22" s="2">
        <v>0</v>
      </c>
      <c r="P22" s="2">
        <v>0</v>
      </c>
      <c r="Q22" s="2">
        <v>0</v>
      </c>
      <c r="R22" s="2">
        <v>0</v>
      </c>
      <c r="S22" s="8" t="str">
        <f t="shared" si="0"/>
        <v>30501044551000700220824</v>
      </c>
      <c r="T22" s="14" t="str">
        <f>IFERROR(VLOOKUP(S22,AFIP!$F$2:$R$999999,12,FALSE),"NO")</f>
        <v>NO</v>
      </c>
      <c r="U22" s="10" t="str">
        <f t="shared" si="1"/>
        <v>NO</v>
      </c>
      <c r="V22" s="10" t="str">
        <f>IFERROR(VLOOKUP(S22,AFIP!$F$2:$R$999999,13,FALSE),"NO")</f>
        <v>NO</v>
      </c>
      <c r="W22" s="1" t="str">
        <f t="shared" si="2"/>
        <v>NO</v>
      </c>
    </row>
    <row r="23" spans="1:23" x14ac:dyDescent="0.25">
      <c r="A23" s="1" t="s">
        <v>27</v>
      </c>
      <c r="B23" s="1" t="s">
        <v>28</v>
      </c>
      <c r="C23" s="1" t="s">
        <v>19</v>
      </c>
      <c r="D23" s="1">
        <v>30501044551</v>
      </c>
      <c r="E23" s="1" t="s">
        <v>20</v>
      </c>
      <c r="F23" s="1" t="s">
        <v>248</v>
      </c>
      <c r="G23" s="1" t="s">
        <v>21</v>
      </c>
      <c r="H23" s="1" t="s">
        <v>22</v>
      </c>
      <c r="I23" s="1" t="s">
        <v>351</v>
      </c>
      <c r="J23" s="2">
        <v>21</v>
      </c>
      <c r="K23" s="12">
        <v>-25349.02</v>
      </c>
      <c r="L23" s="2">
        <v>-20949.599999999999</v>
      </c>
      <c r="M23" s="2">
        <v>0</v>
      </c>
      <c r="N23" s="12">
        <v>-4399.42</v>
      </c>
      <c r="O23" s="2">
        <v>0</v>
      </c>
      <c r="P23" s="2">
        <v>0</v>
      </c>
      <c r="Q23" s="2">
        <v>0</v>
      </c>
      <c r="R23" s="2">
        <v>0</v>
      </c>
      <c r="S23" s="8" t="str">
        <f t="shared" si="0"/>
        <v>30501044551000700220825</v>
      </c>
      <c r="T23" s="14" t="str">
        <f>IFERROR(VLOOKUP(S23,AFIP!$F$2:$R$999999,12,FALSE),"NO")</f>
        <v>NO</v>
      </c>
      <c r="U23" s="10" t="str">
        <f t="shared" si="1"/>
        <v>NO</v>
      </c>
      <c r="V23" s="10" t="str">
        <f>IFERROR(VLOOKUP(S23,AFIP!$F$2:$R$999999,13,FALSE),"NO")</f>
        <v>NO</v>
      </c>
      <c r="W23" s="1" t="str">
        <f t="shared" si="2"/>
        <v>NO</v>
      </c>
    </row>
    <row r="24" spans="1:23" x14ac:dyDescent="0.25">
      <c r="A24" s="1" t="s">
        <v>27</v>
      </c>
      <c r="B24" s="1" t="s">
        <v>28</v>
      </c>
      <c r="C24" s="1" t="s">
        <v>19</v>
      </c>
      <c r="D24" s="1">
        <v>30501044551</v>
      </c>
      <c r="E24" s="1" t="s">
        <v>20</v>
      </c>
      <c r="F24" s="1" t="s">
        <v>307</v>
      </c>
      <c r="G24" s="1" t="s">
        <v>21</v>
      </c>
      <c r="H24" s="1" t="s">
        <v>22</v>
      </c>
      <c r="I24" s="1" t="s">
        <v>352</v>
      </c>
      <c r="J24" s="2">
        <v>21</v>
      </c>
      <c r="K24" s="12">
        <v>-1188461.93</v>
      </c>
      <c r="L24" s="2">
        <v>-982199.94</v>
      </c>
      <c r="M24" s="2">
        <v>0</v>
      </c>
      <c r="N24" s="12">
        <v>-206261.99</v>
      </c>
      <c r="O24" s="2">
        <v>0</v>
      </c>
      <c r="P24" s="2">
        <v>0</v>
      </c>
      <c r="Q24" s="2">
        <v>0</v>
      </c>
      <c r="R24" s="2">
        <v>0</v>
      </c>
      <c r="S24" s="8" t="str">
        <f t="shared" si="0"/>
        <v>30501044551000700220867</v>
      </c>
      <c r="T24" s="14" t="str">
        <f>IFERROR(VLOOKUP(S24,AFIP!$F$2:$R$999999,12,FALSE),"NO")</f>
        <v>NO</v>
      </c>
      <c r="U24" s="10" t="str">
        <f t="shared" si="1"/>
        <v>NO</v>
      </c>
      <c r="V24" s="10" t="str">
        <f>IFERROR(VLOOKUP(S24,AFIP!$F$2:$R$999999,13,FALSE),"NO")</f>
        <v>NO</v>
      </c>
      <c r="W24" s="1" t="str">
        <f t="shared" si="2"/>
        <v>NO</v>
      </c>
    </row>
    <row r="25" spans="1:23" x14ac:dyDescent="0.25">
      <c r="A25" s="1" t="s">
        <v>27</v>
      </c>
      <c r="B25" s="1" t="s">
        <v>28</v>
      </c>
      <c r="C25" s="1" t="s">
        <v>19</v>
      </c>
      <c r="D25" s="1">
        <v>30501044551</v>
      </c>
      <c r="E25" s="1" t="s">
        <v>20</v>
      </c>
      <c r="F25" s="1" t="s">
        <v>249</v>
      </c>
      <c r="G25" s="1" t="s">
        <v>21</v>
      </c>
      <c r="H25" s="1" t="s">
        <v>22</v>
      </c>
      <c r="I25" s="1" t="s">
        <v>353</v>
      </c>
      <c r="J25" s="2">
        <v>21</v>
      </c>
      <c r="K25" s="12">
        <v>-1898829.18</v>
      </c>
      <c r="L25" s="2">
        <v>-1569280.31</v>
      </c>
      <c r="M25" s="2">
        <v>0</v>
      </c>
      <c r="N25" s="12">
        <v>-329548.87</v>
      </c>
      <c r="O25" s="2">
        <v>0</v>
      </c>
      <c r="P25" s="2">
        <v>0</v>
      </c>
      <c r="Q25" s="2">
        <v>0</v>
      </c>
      <c r="R25" s="2">
        <v>0</v>
      </c>
      <c r="S25" s="8" t="str">
        <f t="shared" si="0"/>
        <v>30501044551000700220932</v>
      </c>
      <c r="T25" s="14" t="str">
        <f>IFERROR(VLOOKUP(S25,AFIP!$F$2:$R$999999,12,FALSE),"NO")</f>
        <v>NO</v>
      </c>
      <c r="U25" s="10" t="str">
        <f t="shared" si="1"/>
        <v>NO</v>
      </c>
      <c r="V25" s="10" t="str">
        <f>IFERROR(VLOOKUP(S25,AFIP!$F$2:$R$999999,13,FALSE),"NO")</f>
        <v>NO</v>
      </c>
      <c r="W25" s="1" t="str">
        <f t="shared" si="2"/>
        <v>NO</v>
      </c>
    </row>
    <row r="26" spans="1:23" x14ac:dyDescent="0.25">
      <c r="A26" s="1" t="s">
        <v>27</v>
      </c>
      <c r="B26" s="1" t="s">
        <v>28</v>
      </c>
      <c r="C26" s="1" t="s">
        <v>19</v>
      </c>
      <c r="D26" s="1">
        <v>30501044551</v>
      </c>
      <c r="E26" s="1" t="s">
        <v>20</v>
      </c>
      <c r="F26" s="1" t="s">
        <v>249</v>
      </c>
      <c r="G26" s="1" t="s">
        <v>21</v>
      </c>
      <c r="H26" s="1" t="s">
        <v>22</v>
      </c>
      <c r="I26" s="1" t="s">
        <v>354</v>
      </c>
      <c r="J26" s="2">
        <v>21</v>
      </c>
      <c r="K26" s="12">
        <v>-1551804.33</v>
      </c>
      <c r="L26" s="2">
        <v>-1282482.92</v>
      </c>
      <c r="M26" s="2">
        <v>0</v>
      </c>
      <c r="N26" s="12">
        <v>-269321.40999999997</v>
      </c>
      <c r="O26" s="2">
        <v>0</v>
      </c>
      <c r="P26" s="2">
        <v>0</v>
      </c>
      <c r="Q26" s="2">
        <v>0</v>
      </c>
      <c r="R26" s="2">
        <v>0</v>
      </c>
      <c r="S26" s="8" t="str">
        <f t="shared" si="0"/>
        <v>30501044551000700221057</v>
      </c>
      <c r="T26" s="14" t="str">
        <f>IFERROR(VLOOKUP(S26,AFIP!$F$2:$R$999999,12,FALSE),"NO")</f>
        <v>NO</v>
      </c>
      <c r="U26" s="10" t="str">
        <f t="shared" si="1"/>
        <v>NO</v>
      </c>
      <c r="V26" s="10" t="str">
        <f>IFERROR(VLOOKUP(S26,AFIP!$F$2:$R$999999,13,FALSE),"NO")</f>
        <v>NO</v>
      </c>
      <c r="W26" s="1" t="str">
        <f t="shared" si="2"/>
        <v>NO</v>
      </c>
    </row>
    <row r="27" spans="1:23" x14ac:dyDescent="0.25">
      <c r="A27" s="1" t="s">
        <v>27</v>
      </c>
      <c r="B27" s="1" t="s">
        <v>28</v>
      </c>
      <c r="C27" s="1" t="s">
        <v>19</v>
      </c>
      <c r="D27" s="1">
        <v>30501044551</v>
      </c>
      <c r="E27" s="1" t="s">
        <v>20</v>
      </c>
      <c r="F27" s="1" t="s">
        <v>249</v>
      </c>
      <c r="G27" s="1" t="s">
        <v>21</v>
      </c>
      <c r="H27" s="1" t="s">
        <v>22</v>
      </c>
      <c r="I27" s="1" t="s">
        <v>355</v>
      </c>
      <c r="J27" s="2">
        <v>21</v>
      </c>
      <c r="K27" s="12">
        <v>-5848.1</v>
      </c>
      <c r="L27" s="2">
        <v>-4833.1400000000003</v>
      </c>
      <c r="M27" s="2">
        <v>0</v>
      </c>
      <c r="N27" s="12">
        <v>-1014.96</v>
      </c>
      <c r="O27" s="2">
        <v>0</v>
      </c>
      <c r="P27" s="2">
        <v>0</v>
      </c>
      <c r="Q27" s="2">
        <v>0</v>
      </c>
      <c r="R27" s="2">
        <v>0</v>
      </c>
      <c r="S27" s="8" t="str">
        <f t="shared" si="0"/>
        <v>30501044551000700221058</v>
      </c>
      <c r="T27" s="14" t="str">
        <f>IFERROR(VLOOKUP(S27,AFIP!$F$2:$R$999999,12,FALSE),"NO")</f>
        <v>NO</v>
      </c>
      <c r="U27" s="10" t="str">
        <f t="shared" si="1"/>
        <v>NO</v>
      </c>
      <c r="V27" s="10" t="str">
        <f>IFERROR(VLOOKUP(S27,AFIP!$F$2:$R$999999,13,FALSE),"NO")</f>
        <v>NO</v>
      </c>
      <c r="W27" s="1" t="str">
        <f t="shared" si="2"/>
        <v>NO</v>
      </c>
    </row>
    <row r="28" spans="1:23" x14ac:dyDescent="0.25">
      <c r="A28" s="1" t="s">
        <v>27</v>
      </c>
      <c r="B28" s="1" t="s">
        <v>28</v>
      </c>
      <c r="C28" s="1" t="s">
        <v>19</v>
      </c>
      <c r="D28" s="1">
        <v>30501044551</v>
      </c>
      <c r="E28" s="1" t="s">
        <v>20</v>
      </c>
      <c r="F28" s="1" t="s">
        <v>249</v>
      </c>
      <c r="G28" s="1" t="s">
        <v>21</v>
      </c>
      <c r="H28" s="1" t="s">
        <v>22</v>
      </c>
      <c r="I28" s="1" t="s">
        <v>356</v>
      </c>
      <c r="J28" s="2">
        <v>21</v>
      </c>
      <c r="K28" s="12">
        <v>-5848.1</v>
      </c>
      <c r="L28" s="2">
        <v>-4833.1400000000003</v>
      </c>
      <c r="M28" s="2">
        <v>0</v>
      </c>
      <c r="N28" s="12">
        <v>-1014.96</v>
      </c>
      <c r="O28" s="2">
        <v>0</v>
      </c>
      <c r="P28" s="2">
        <v>0</v>
      </c>
      <c r="Q28" s="2">
        <v>0</v>
      </c>
      <c r="R28" s="2">
        <v>0</v>
      </c>
      <c r="S28" s="8" t="str">
        <f t="shared" si="0"/>
        <v>30501044551000700221059</v>
      </c>
      <c r="T28" s="14" t="str">
        <f>IFERROR(VLOOKUP(S28,AFIP!$F$2:$R$999999,12,FALSE),"NO")</f>
        <v>NO</v>
      </c>
      <c r="U28" s="10" t="str">
        <f t="shared" si="1"/>
        <v>NO</v>
      </c>
      <c r="V28" s="10" t="str">
        <f>IFERROR(VLOOKUP(S28,AFIP!$F$2:$R$999999,13,FALSE),"NO")</f>
        <v>NO</v>
      </c>
      <c r="W28" s="1" t="str">
        <f t="shared" si="2"/>
        <v>NO</v>
      </c>
    </row>
    <row r="29" spans="1:23" x14ac:dyDescent="0.25">
      <c r="A29" s="1" t="s">
        <v>27</v>
      </c>
      <c r="B29" s="1" t="s">
        <v>28</v>
      </c>
      <c r="C29" s="1" t="s">
        <v>19</v>
      </c>
      <c r="D29" s="1">
        <v>30501044551</v>
      </c>
      <c r="E29" s="1" t="s">
        <v>20</v>
      </c>
      <c r="F29" s="1" t="s">
        <v>249</v>
      </c>
      <c r="G29" s="1" t="s">
        <v>21</v>
      </c>
      <c r="H29" s="1" t="s">
        <v>22</v>
      </c>
      <c r="I29" s="1" t="s">
        <v>357</v>
      </c>
      <c r="J29" s="2">
        <v>21</v>
      </c>
      <c r="K29" s="12">
        <v>-11696.2</v>
      </c>
      <c r="L29" s="2">
        <v>-9666.2800000000007</v>
      </c>
      <c r="M29" s="2">
        <v>0</v>
      </c>
      <c r="N29" s="12">
        <v>-2029.92</v>
      </c>
      <c r="O29" s="2">
        <v>0</v>
      </c>
      <c r="P29" s="2">
        <v>0</v>
      </c>
      <c r="Q29" s="2">
        <v>0</v>
      </c>
      <c r="R29" s="2">
        <v>0</v>
      </c>
      <c r="S29" s="8" t="str">
        <f t="shared" si="0"/>
        <v>30501044551000700221060</v>
      </c>
      <c r="T29" s="14" t="str">
        <f>IFERROR(VLOOKUP(S29,AFIP!$F$2:$R$999999,12,FALSE),"NO")</f>
        <v>NO</v>
      </c>
      <c r="U29" s="10" t="str">
        <f t="shared" si="1"/>
        <v>NO</v>
      </c>
      <c r="V29" s="10" t="str">
        <f>IFERROR(VLOOKUP(S29,AFIP!$F$2:$R$999999,13,FALSE),"NO")</f>
        <v>NO</v>
      </c>
      <c r="W29" s="1" t="str">
        <f t="shared" si="2"/>
        <v>NO</v>
      </c>
    </row>
    <row r="30" spans="1:23" x14ac:dyDescent="0.25">
      <c r="A30" s="1" t="s">
        <v>23</v>
      </c>
      <c r="B30" s="1" t="s">
        <v>24</v>
      </c>
      <c r="C30" s="1" t="s">
        <v>19</v>
      </c>
      <c r="D30" s="1">
        <v>30614967125</v>
      </c>
      <c r="E30" s="1" t="s">
        <v>20</v>
      </c>
      <c r="F30" s="1" t="s">
        <v>249</v>
      </c>
      <c r="G30" s="1" t="s">
        <v>21</v>
      </c>
      <c r="H30" s="1" t="s">
        <v>22</v>
      </c>
      <c r="I30" s="1" t="s">
        <v>358</v>
      </c>
      <c r="J30" s="2">
        <v>21</v>
      </c>
      <c r="K30" s="12">
        <v>-2295488.77</v>
      </c>
      <c r="L30" s="2">
        <v>-1897098.16</v>
      </c>
      <c r="M30" s="2">
        <v>0</v>
      </c>
      <c r="N30" s="12">
        <v>-398390.61</v>
      </c>
      <c r="O30" s="2">
        <v>0</v>
      </c>
      <c r="P30" s="2">
        <v>0</v>
      </c>
      <c r="Q30" s="2">
        <v>0</v>
      </c>
      <c r="R30" s="2">
        <v>0</v>
      </c>
      <c r="S30" s="8" t="str">
        <f t="shared" si="0"/>
        <v>30614967125003000037179</v>
      </c>
      <c r="T30" s="14" t="str">
        <f>IFERROR(VLOOKUP(S30,AFIP!$F$2:$R$999999,12,FALSE),"NO")</f>
        <v>NO</v>
      </c>
      <c r="U30" s="10" t="str">
        <f t="shared" si="1"/>
        <v>NO</v>
      </c>
      <c r="V30" s="10" t="str">
        <f>IFERROR(VLOOKUP(S30,AFIP!$F$2:$R$999999,13,FALSE),"NO")</f>
        <v>NO</v>
      </c>
      <c r="W30" s="1" t="str">
        <f t="shared" si="2"/>
        <v>NO</v>
      </c>
    </row>
    <row r="31" spans="1:23" hidden="1" x14ac:dyDescent="0.25">
      <c r="A31" s="1" t="s">
        <v>232</v>
      </c>
      <c r="B31" s="1" t="s">
        <v>233</v>
      </c>
      <c r="C31" s="1" t="s">
        <v>19</v>
      </c>
      <c r="D31" s="1">
        <v>30714379468</v>
      </c>
      <c r="E31" s="1" t="s">
        <v>20</v>
      </c>
      <c r="F31" s="1" t="s">
        <v>359</v>
      </c>
      <c r="G31" s="1" t="s">
        <v>21</v>
      </c>
      <c r="H31" s="1" t="s">
        <v>22</v>
      </c>
      <c r="I31" s="1" t="s">
        <v>360</v>
      </c>
      <c r="J31" s="2">
        <v>21</v>
      </c>
      <c r="K31" s="12">
        <v>-4620.99</v>
      </c>
      <c r="L31" s="2">
        <v>-3819</v>
      </c>
      <c r="M31" s="2">
        <v>0</v>
      </c>
      <c r="N31" s="12">
        <v>-801.99</v>
      </c>
      <c r="O31" s="2">
        <v>0</v>
      </c>
      <c r="P31" s="2">
        <v>0</v>
      </c>
      <c r="Q31" s="2">
        <v>0</v>
      </c>
      <c r="R31" s="2">
        <v>0</v>
      </c>
      <c r="S31" s="8" t="str">
        <f t="shared" si="0"/>
        <v>30714379468000200001444</v>
      </c>
      <c r="T31" s="14">
        <f>IFERROR(VLOOKUP(S31,AFIP!$F$2:$R$999999,12,FALSE),"NO")</f>
        <v>801.99</v>
      </c>
      <c r="U31" s="10" t="str">
        <f t="shared" si="1"/>
        <v>NO</v>
      </c>
      <c r="V31" s="10">
        <f>IFERROR(VLOOKUP(S31,AFIP!$F$2:$R$999999,13,FALSE),"NO")</f>
        <v>4620.99</v>
      </c>
      <c r="W31" s="1" t="str">
        <f t="shared" si="2"/>
        <v>NO</v>
      </c>
    </row>
    <row r="32" spans="1:23" hidden="1" x14ac:dyDescent="0.25">
      <c r="A32" s="1" t="s">
        <v>228</v>
      </c>
      <c r="B32" s="1" t="s">
        <v>217</v>
      </c>
      <c r="C32" s="1" t="s">
        <v>19</v>
      </c>
      <c r="D32" s="1">
        <v>23174473919</v>
      </c>
      <c r="E32" s="1" t="s">
        <v>20</v>
      </c>
      <c r="F32" s="1" t="s">
        <v>359</v>
      </c>
      <c r="G32" s="1" t="s">
        <v>21</v>
      </c>
      <c r="H32" s="1" t="s">
        <v>22</v>
      </c>
      <c r="I32" s="1" t="s">
        <v>361</v>
      </c>
      <c r="J32" s="2">
        <v>21</v>
      </c>
      <c r="K32" s="12">
        <v>-56761.84</v>
      </c>
      <c r="L32" s="2">
        <v>-46910.61</v>
      </c>
      <c r="M32" s="2">
        <v>0</v>
      </c>
      <c r="N32" s="12">
        <v>-9851.23</v>
      </c>
      <c r="O32" s="2">
        <v>0</v>
      </c>
      <c r="P32" s="2">
        <v>0</v>
      </c>
      <c r="Q32" s="2">
        <v>0</v>
      </c>
      <c r="R32" s="2">
        <v>0</v>
      </c>
      <c r="S32" s="8" t="str">
        <f t="shared" si="0"/>
        <v>23174473919000300000847</v>
      </c>
      <c r="T32" s="14">
        <f>IFERROR(VLOOKUP(S32,AFIP!$F$2:$R$999999,12,FALSE),"NO")</f>
        <v>9851.23</v>
      </c>
      <c r="U32" s="10" t="str">
        <f t="shared" si="1"/>
        <v>NO</v>
      </c>
      <c r="V32" s="10">
        <f>IFERROR(VLOOKUP(S32,AFIP!$F$2:$R$999999,13,FALSE),"NO")</f>
        <v>56761.84</v>
      </c>
      <c r="W32" s="1" t="str">
        <f t="shared" si="2"/>
        <v>NO</v>
      </c>
    </row>
    <row r="33" spans="1:23" hidden="1" x14ac:dyDescent="0.25">
      <c r="A33" s="1" t="s">
        <v>25</v>
      </c>
      <c r="B33" s="1" t="s">
        <v>26</v>
      </c>
      <c r="C33" s="1" t="s">
        <v>19</v>
      </c>
      <c r="D33" s="1">
        <v>30707509976</v>
      </c>
      <c r="E33" s="1" t="s">
        <v>20</v>
      </c>
      <c r="F33" s="1" t="s">
        <v>359</v>
      </c>
      <c r="G33" s="1" t="s">
        <v>21</v>
      </c>
      <c r="H33" s="1" t="s">
        <v>22</v>
      </c>
      <c r="I33" s="1" t="s">
        <v>362</v>
      </c>
      <c r="J33" s="2">
        <v>21</v>
      </c>
      <c r="K33" s="12">
        <v>-77699.16</v>
      </c>
      <c r="L33" s="2">
        <v>-64214.18</v>
      </c>
      <c r="M33" s="2">
        <v>0</v>
      </c>
      <c r="N33" s="12">
        <v>-13484.98</v>
      </c>
      <c r="O33" s="2">
        <v>0</v>
      </c>
      <c r="P33" s="2">
        <v>0</v>
      </c>
      <c r="Q33" s="2">
        <v>0</v>
      </c>
      <c r="R33" s="2">
        <v>0</v>
      </c>
      <c r="S33" s="8" t="str">
        <f t="shared" si="0"/>
        <v>30707509976000500001875</v>
      </c>
      <c r="T33" s="14">
        <f>IFERROR(VLOOKUP(S33,AFIP!$F$2:$R$999999,12,FALSE),"NO")</f>
        <v>13484.98</v>
      </c>
      <c r="U33" s="10" t="str">
        <f t="shared" si="1"/>
        <v>NO</v>
      </c>
      <c r="V33" s="10">
        <f>IFERROR(VLOOKUP(S33,AFIP!$F$2:$R$999999,13,FALSE),"NO")</f>
        <v>77699.16</v>
      </c>
      <c r="W33" s="1" t="str">
        <f t="shared" si="2"/>
        <v>NO</v>
      </c>
    </row>
    <row r="34" spans="1:23" hidden="1" x14ac:dyDescent="0.25">
      <c r="A34" s="1" t="s">
        <v>229</v>
      </c>
      <c r="B34" s="1" t="s">
        <v>230</v>
      </c>
      <c r="C34" s="1" t="s">
        <v>19</v>
      </c>
      <c r="D34" s="1">
        <v>20335001932</v>
      </c>
      <c r="E34" s="1" t="s">
        <v>20</v>
      </c>
      <c r="F34" s="1" t="s">
        <v>359</v>
      </c>
      <c r="G34" s="1" t="s">
        <v>21</v>
      </c>
      <c r="H34" s="1" t="s">
        <v>22</v>
      </c>
      <c r="I34" s="1" t="s">
        <v>363</v>
      </c>
      <c r="J34" s="2">
        <v>21</v>
      </c>
      <c r="K34" s="12">
        <v>-15400</v>
      </c>
      <c r="L34" s="2">
        <v>-12727.27</v>
      </c>
      <c r="M34" s="2">
        <v>0</v>
      </c>
      <c r="N34" s="12">
        <v>-2672.73</v>
      </c>
      <c r="O34" s="2">
        <v>0</v>
      </c>
      <c r="P34" s="2">
        <v>0</v>
      </c>
      <c r="Q34" s="2">
        <v>0</v>
      </c>
      <c r="R34" s="2">
        <v>0</v>
      </c>
      <c r="S34" s="8" t="str">
        <f t="shared" si="0"/>
        <v>20335001932000900000027</v>
      </c>
      <c r="T34" s="14">
        <f>IFERROR(VLOOKUP(S34,AFIP!$F$2:$R$999999,12,FALSE),"NO")</f>
        <v>2672.73</v>
      </c>
      <c r="U34" s="10" t="str">
        <f t="shared" si="1"/>
        <v>NO</v>
      </c>
      <c r="V34" s="10">
        <f>IFERROR(VLOOKUP(S34,AFIP!$F$2:$R$999999,13,FALSE),"NO")</f>
        <v>15400</v>
      </c>
      <c r="W34" s="1" t="str">
        <f t="shared" si="2"/>
        <v>NO</v>
      </c>
    </row>
    <row r="35" spans="1:23" hidden="1" x14ac:dyDescent="0.25">
      <c r="A35" s="1" t="s">
        <v>31</v>
      </c>
      <c r="B35" s="1" t="s">
        <v>32</v>
      </c>
      <c r="C35" s="1" t="s">
        <v>19</v>
      </c>
      <c r="D35" s="1">
        <v>30500529071</v>
      </c>
      <c r="E35" s="1" t="s">
        <v>20</v>
      </c>
      <c r="F35" s="1" t="s">
        <v>359</v>
      </c>
      <c r="G35" s="1" t="s">
        <v>21</v>
      </c>
      <c r="H35" s="1" t="s">
        <v>22</v>
      </c>
      <c r="I35" s="1" t="s">
        <v>364</v>
      </c>
      <c r="J35" s="2">
        <v>21</v>
      </c>
      <c r="K35" s="12">
        <v>-668281.18999999994</v>
      </c>
      <c r="L35" s="2">
        <v>-538936.44999999995</v>
      </c>
      <c r="M35" s="2">
        <v>0</v>
      </c>
      <c r="N35" s="12">
        <v>-113176.65</v>
      </c>
      <c r="O35" s="2">
        <v>0</v>
      </c>
      <c r="P35" s="2">
        <v>-16168.09</v>
      </c>
      <c r="Q35" s="2">
        <v>0</v>
      </c>
      <c r="R35" s="2">
        <v>0</v>
      </c>
      <c r="S35" s="8" t="str">
        <f t="shared" si="0"/>
        <v>30500529071020100269929</v>
      </c>
      <c r="T35" s="14">
        <f>IFERROR(VLOOKUP(S35,AFIP!$F$2:$R$999999,12,FALSE),"NO")</f>
        <v>113176.65</v>
      </c>
      <c r="U35" s="10" t="str">
        <f t="shared" si="1"/>
        <v>NO</v>
      </c>
      <c r="V35" s="10">
        <f>IFERROR(VLOOKUP(S35,AFIP!$F$2:$R$999999,13,FALSE),"NO")</f>
        <v>668281.18999999994</v>
      </c>
      <c r="W35" s="1" t="str">
        <f t="shared" si="2"/>
        <v>NO</v>
      </c>
    </row>
    <row r="36" spans="1:23" hidden="1" x14ac:dyDescent="0.25">
      <c r="A36" s="1" t="s">
        <v>35</v>
      </c>
      <c r="B36" s="1" t="s">
        <v>36</v>
      </c>
      <c r="C36" s="1" t="s">
        <v>19</v>
      </c>
      <c r="D36" s="1">
        <v>33522734549</v>
      </c>
      <c r="E36" s="1" t="s">
        <v>20</v>
      </c>
      <c r="F36" s="1" t="s">
        <v>365</v>
      </c>
      <c r="G36" s="1" t="s">
        <v>21</v>
      </c>
      <c r="H36" s="1" t="s">
        <v>22</v>
      </c>
      <c r="I36" s="1" t="s">
        <v>366</v>
      </c>
      <c r="J36" s="2">
        <v>21</v>
      </c>
      <c r="K36" s="12">
        <v>-9240518.9900000002</v>
      </c>
      <c r="L36" s="2">
        <v>-7636792.5499999998</v>
      </c>
      <c r="M36" s="2">
        <v>0</v>
      </c>
      <c r="N36" s="12">
        <v>-1603726.44</v>
      </c>
      <c r="O36" s="2">
        <v>0</v>
      </c>
      <c r="P36" s="2">
        <v>0</v>
      </c>
      <c r="Q36" s="2">
        <v>0</v>
      </c>
      <c r="R36" s="2">
        <v>0</v>
      </c>
      <c r="S36" s="8" t="str">
        <f t="shared" si="0"/>
        <v>33522734549002100242996</v>
      </c>
      <c r="T36" s="14">
        <f>IFERROR(VLOOKUP(S36,AFIP!$F$2:$R$999999,12,FALSE),"NO")</f>
        <v>1603726.44</v>
      </c>
      <c r="U36" s="10" t="str">
        <f t="shared" si="1"/>
        <v>NO</v>
      </c>
      <c r="V36" s="10">
        <f>IFERROR(VLOOKUP(S36,AFIP!$F$2:$R$999999,13,FALSE),"NO")</f>
        <v>9240518.9900000002</v>
      </c>
      <c r="W36" s="1" t="str">
        <f t="shared" si="2"/>
        <v>NO</v>
      </c>
    </row>
    <row r="37" spans="1:23" hidden="1" x14ac:dyDescent="0.25">
      <c r="A37" s="1" t="s">
        <v>29</v>
      </c>
      <c r="B37" s="1" t="s">
        <v>30</v>
      </c>
      <c r="C37" s="1" t="s">
        <v>19</v>
      </c>
      <c r="D37" s="1">
        <v>30621181838</v>
      </c>
      <c r="E37" s="1" t="s">
        <v>20</v>
      </c>
      <c r="F37" s="1" t="s">
        <v>365</v>
      </c>
      <c r="G37" s="1" t="s">
        <v>21</v>
      </c>
      <c r="H37" s="1" t="s">
        <v>22</v>
      </c>
      <c r="I37" s="1" t="s">
        <v>367</v>
      </c>
      <c r="J37" s="2">
        <v>21</v>
      </c>
      <c r="K37" s="12">
        <v>-55649509.950000003</v>
      </c>
      <c r="L37" s="2">
        <v>-45991330.539999999</v>
      </c>
      <c r="M37" s="2">
        <v>0</v>
      </c>
      <c r="N37" s="12">
        <v>-9658179.4100000001</v>
      </c>
      <c r="O37" s="2">
        <v>0</v>
      </c>
      <c r="P37" s="2">
        <v>0</v>
      </c>
      <c r="Q37" s="2">
        <v>0</v>
      </c>
      <c r="R37" s="2">
        <v>0</v>
      </c>
      <c r="S37" s="8" t="str">
        <f t="shared" si="0"/>
        <v>30621181838003200164767</v>
      </c>
      <c r="T37" s="14">
        <f>IFERROR(VLOOKUP(S37,AFIP!$F$2:$R$999999,12,FALSE),"NO")</f>
        <v>9658179.4100000001</v>
      </c>
      <c r="U37" s="10" t="str">
        <f t="shared" si="1"/>
        <v>NO</v>
      </c>
      <c r="V37" s="10">
        <f>IFERROR(VLOOKUP(S37,AFIP!$F$2:$R$999999,13,FALSE),"NO")</f>
        <v>55649509.950000003</v>
      </c>
      <c r="W37" s="1" t="str">
        <f t="shared" si="2"/>
        <v>NO</v>
      </c>
    </row>
    <row r="38" spans="1:23" hidden="1" x14ac:dyDescent="0.25">
      <c r="A38" s="1" t="s">
        <v>31</v>
      </c>
      <c r="B38" s="1" t="s">
        <v>32</v>
      </c>
      <c r="C38" s="1" t="s">
        <v>19</v>
      </c>
      <c r="D38" s="1">
        <v>30500529071</v>
      </c>
      <c r="E38" s="1" t="s">
        <v>20</v>
      </c>
      <c r="F38" s="1" t="s">
        <v>365</v>
      </c>
      <c r="G38" s="1" t="s">
        <v>21</v>
      </c>
      <c r="H38" s="1" t="s">
        <v>22</v>
      </c>
      <c r="I38" s="1" t="s">
        <v>368</v>
      </c>
      <c r="J38" s="2">
        <v>21</v>
      </c>
      <c r="K38" s="12">
        <v>-1510291.47</v>
      </c>
      <c r="L38" s="2">
        <v>-1217976.99</v>
      </c>
      <c r="M38" s="2">
        <v>0</v>
      </c>
      <c r="N38" s="12">
        <v>-255775.17</v>
      </c>
      <c r="O38" s="2">
        <v>-36539.31</v>
      </c>
      <c r="P38" s="2">
        <v>0</v>
      </c>
      <c r="Q38" s="2">
        <v>0</v>
      </c>
      <c r="R38" s="2">
        <v>0</v>
      </c>
      <c r="S38" s="8" t="str">
        <f t="shared" si="0"/>
        <v>30500529071020100269948</v>
      </c>
      <c r="T38" s="14">
        <f>IFERROR(VLOOKUP(S38,AFIP!$F$2:$R$999999,12,FALSE),"NO")</f>
        <v>255775.17</v>
      </c>
      <c r="U38" s="10" t="str">
        <f t="shared" si="1"/>
        <v>NO</v>
      </c>
      <c r="V38" s="10">
        <f>IFERROR(VLOOKUP(S38,AFIP!$F$2:$R$999999,13,FALSE),"NO")</f>
        <v>1510291.47</v>
      </c>
      <c r="W38" s="1" t="str">
        <f t="shared" si="2"/>
        <v>NO</v>
      </c>
    </row>
    <row r="39" spans="1:23" hidden="1" x14ac:dyDescent="0.25">
      <c r="A39" s="1" t="s">
        <v>31</v>
      </c>
      <c r="B39" s="1" t="s">
        <v>32</v>
      </c>
      <c r="C39" s="1" t="s">
        <v>19</v>
      </c>
      <c r="D39" s="1">
        <v>30500529071</v>
      </c>
      <c r="E39" s="1" t="s">
        <v>20</v>
      </c>
      <c r="F39" s="1" t="s">
        <v>365</v>
      </c>
      <c r="G39" s="1" t="s">
        <v>21</v>
      </c>
      <c r="H39" s="1" t="s">
        <v>22</v>
      </c>
      <c r="I39" s="1" t="s">
        <v>369</v>
      </c>
      <c r="J39" s="2">
        <v>21</v>
      </c>
      <c r="K39" s="12">
        <v>-12314.18</v>
      </c>
      <c r="L39" s="2">
        <v>-9930.7900000000009</v>
      </c>
      <c r="M39" s="2">
        <v>0</v>
      </c>
      <c r="N39" s="12">
        <v>-2085.4699999999998</v>
      </c>
      <c r="O39" s="2">
        <v>-297.92</v>
      </c>
      <c r="P39" s="2">
        <v>0</v>
      </c>
      <c r="Q39" s="2">
        <v>0</v>
      </c>
      <c r="R39" s="2">
        <v>0</v>
      </c>
      <c r="S39" s="8" t="str">
        <f t="shared" si="0"/>
        <v>30500529071020100269949</v>
      </c>
      <c r="T39" s="14">
        <f>IFERROR(VLOOKUP(S39,AFIP!$F$2:$R$999999,12,FALSE),"NO")</f>
        <v>2085.4699999999998</v>
      </c>
      <c r="U39" s="10" t="str">
        <f t="shared" si="1"/>
        <v>NO</v>
      </c>
      <c r="V39" s="10">
        <f>IFERROR(VLOOKUP(S39,AFIP!$F$2:$R$999999,13,FALSE),"NO")</f>
        <v>12314.18</v>
      </c>
      <c r="W39" s="1" t="str">
        <f t="shared" si="2"/>
        <v>NO</v>
      </c>
    </row>
    <row r="40" spans="1:23" hidden="1" x14ac:dyDescent="0.25">
      <c r="A40" s="1" t="s">
        <v>31</v>
      </c>
      <c r="B40" s="1" t="s">
        <v>32</v>
      </c>
      <c r="C40" s="1" t="s">
        <v>19</v>
      </c>
      <c r="D40" s="1">
        <v>30500529071</v>
      </c>
      <c r="E40" s="1" t="s">
        <v>20</v>
      </c>
      <c r="F40" s="1" t="s">
        <v>370</v>
      </c>
      <c r="G40" s="1" t="s">
        <v>21</v>
      </c>
      <c r="H40" s="1" t="s">
        <v>22</v>
      </c>
      <c r="I40" s="1" t="s">
        <v>371</v>
      </c>
      <c r="J40" s="2">
        <v>21</v>
      </c>
      <c r="K40" s="12">
        <v>-52607.9</v>
      </c>
      <c r="L40" s="2">
        <v>-42425.73</v>
      </c>
      <c r="M40" s="2">
        <v>0</v>
      </c>
      <c r="N40" s="12">
        <v>-8909.4</v>
      </c>
      <c r="O40" s="2">
        <v>-1272.77</v>
      </c>
      <c r="P40" s="2">
        <v>0</v>
      </c>
      <c r="Q40" s="2">
        <v>0</v>
      </c>
      <c r="R40" s="2">
        <v>0</v>
      </c>
      <c r="S40" s="8" t="str">
        <f t="shared" si="0"/>
        <v>30500529071020100270079</v>
      </c>
      <c r="T40" s="14">
        <f>IFERROR(VLOOKUP(S40,AFIP!$F$2:$R$999999,12,FALSE),"NO")</f>
        <v>8909.4</v>
      </c>
      <c r="U40" s="10" t="str">
        <f t="shared" si="1"/>
        <v>NO</v>
      </c>
      <c r="V40" s="10">
        <f>IFERROR(VLOOKUP(S40,AFIP!$F$2:$R$999999,13,FALSE),"NO")</f>
        <v>52607.9</v>
      </c>
      <c r="W40" s="1" t="str">
        <f t="shared" si="2"/>
        <v>NO</v>
      </c>
    </row>
    <row r="41" spans="1:23" hidden="1" x14ac:dyDescent="0.25">
      <c r="A41" s="1" t="s">
        <v>279</v>
      </c>
      <c r="B41" s="1" t="s">
        <v>280</v>
      </c>
      <c r="C41" s="1" t="s">
        <v>19</v>
      </c>
      <c r="D41" s="1">
        <v>33620532229</v>
      </c>
      <c r="E41" s="1" t="s">
        <v>20</v>
      </c>
      <c r="F41" s="1" t="s">
        <v>372</v>
      </c>
      <c r="G41" s="1" t="s">
        <v>21</v>
      </c>
      <c r="H41" s="1" t="s">
        <v>22</v>
      </c>
      <c r="I41" s="1" t="s">
        <v>373</v>
      </c>
      <c r="J41" s="2">
        <v>21</v>
      </c>
      <c r="K41" s="12">
        <v>-977140.53</v>
      </c>
      <c r="L41" s="2">
        <v>-807554.16</v>
      </c>
      <c r="M41" s="2">
        <v>0</v>
      </c>
      <c r="N41" s="12">
        <v>-169586.37</v>
      </c>
      <c r="O41" s="2">
        <v>0</v>
      </c>
      <c r="P41" s="2">
        <v>0</v>
      </c>
      <c r="Q41" s="2">
        <v>0</v>
      </c>
      <c r="R41" s="2">
        <v>0</v>
      </c>
      <c r="S41" s="8" t="str">
        <f t="shared" si="0"/>
        <v>33620532229000200008028</v>
      </c>
      <c r="T41" s="14">
        <f>IFERROR(VLOOKUP(S41,AFIP!$F$2:$R$999999,12,FALSE),"NO")</f>
        <v>169586.37</v>
      </c>
      <c r="U41" s="10" t="str">
        <f t="shared" si="1"/>
        <v>NO</v>
      </c>
      <c r="V41" s="10">
        <f>IFERROR(VLOOKUP(S41,AFIP!$F$2:$R$999999,13,FALSE),"NO")</f>
        <v>977140.53</v>
      </c>
      <c r="W41" s="1" t="str">
        <f t="shared" si="2"/>
        <v>NO</v>
      </c>
    </row>
    <row r="42" spans="1:23" hidden="1" x14ac:dyDescent="0.25">
      <c r="A42" s="1" t="s">
        <v>35</v>
      </c>
      <c r="B42" s="1" t="s">
        <v>36</v>
      </c>
      <c r="C42" s="1" t="s">
        <v>19</v>
      </c>
      <c r="D42" s="1">
        <v>33522734549</v>
      </c>
      <c r="E42" s="1" t="s">
        <v>20</v>
      </c>
      <c r="F42" s="1" t="s">
        <v>372</v>
      </c>
      <c r="G42" s="1" t="s">
        <v>21</v>
      </c>
      <c r="H42" s="1" t="s">
        <v>22</v>
      </c>
      <c r="I42" s="1" t="s">
        <v>374</v>
      </c>
      <c r="J42" s="2">
        <v>21</v>
      </c>
      <c r="K42" s="12">
        <v>-73833.320000000007</v>
      </c>
      <c r="L42" s="2">
        <v>-59543</v>
      </c>
      <c r="M42" s="2">
        <v>0</v>
      </c>
      <c r="N42" s="12">
        <v>-12504.03</v>
      </c>
      <c r="O42" s="2">
        <v>-1786.29</v>
      </c>
      <c r="P42" s="2">
        <v>0</v>
      </c>
      <c r="Q42" s="2">
        <v>0</v>
      </c>
      <c r="R42" s="2">
        <v>0</v>
      </c>
      <c r="S42" s="8" t="str">
        <f t="shared" si="0"/>
        <v>33522734549002100243134</v>
      </c>
      <c r="T42" s="14">
        <f>IFERROR(VLOOKUP(S42,AFIP!$F$2:$R$999999,12,FALSE),"NO")</f>
        <v>12504.03</v>
      </c>
      <c r="U42" s="10" t="str">
        <f t="shared" si="1"/>
        <v>NO</v>
      </c>
      <c r="V42" s="10">
        <f>IFERROR(VLOOKUP(S42,AFIP!$F$2:$R$999999,13,FALSE),"NO")</f>
        <v>73833.320000000007</v>
      </c>
      <c r="W42" s="1" t="str">
        <f t="shared" si="2"/>
        <v>NO</v>
      </c>
    </row>
    <row r="43" spans="1:23" hidden="1" x14ac:dyDescent="0.25">
      <c r="A43" s="1" t="s">
        <v>17</v>
      </c>
      <c r="B43" s="1" t="s">
        <v>18</v>
      </c>
      <c r="C43" s="1" t="s">
        <v>19</v>
      </c>
      <c r="D43" s="1">
        <v>30500529454</v>
      </c>
      <c r="E43" s="1" t="s">
        <v>20</v>
      </c>
      <c r="F43" s="1" t="s">
        <v>372</v>
      </c>
      <c r="G43" s="1" t="s">
        <v>21</v>
      </c>
      <c r="H43" s="1" t="s">
        <v>22</v>
      </c>
      <c r="I43" s="1" t="s">
        <v>375</v>
      </c>
      <c r="J43" s="2">
        <v>21</v>
      </c>
      <c r="K43" s="12">
        <v>-1800265.04</v>
      </c>
      <c r="L43" s="2">
        <v>-1487822.35</v>
      </c>
      <c r="M43" s="2">
        <v>0</v>
      </c>
      <c r="N43" s="12">
        <v>-312442.69</v>
      </c>
      <c r="O43" s="2">
        <v>0</v>
      </c>
      <c r="P43" s="2">
        <v>0</v>
      </c>
      <c r="Q43" s="2">
        <v>0</v>
      </c>
      <c r="R43" s="2">
        <v>0</v>
      </c>
      <c r="S43" s="8" t="str">
        <f t="shared" si="0"/>
        <v>30500529454026700172809</v>
      </c>
      <c r="T43" s="14">
        <f>IFERROR(VLOOKUP(S43,AFIP!$F$2:$R$999999,12,FALSE),"NO")</f>
        <v>312442.69</v>
      </c>
      <c r="U43" s="10" t="str">
        <f t="shared" si="1"/>
        <v>NO</v>
      </c>
      <c r="V43" s="10">
        <f>IFERROR(VLOOKUP(S43,AFIP!$F$2:$R$999999,13,FALSE),"NO")</f>
        <v>1800265.04</v>
      </c>
      <c r="W43" s="1" t="str">
        <f t="shared" si="2"/>
        <v>NO</v>
      </c>
    </row>
    <row r="44" spans="1:23" hidden="1" x14ac:dyDescent="0.25">
      <c r="A44" s="1" t="s">
        <v>29</v>
      </c>
      <c r="B44" s="1" t="s">
        <v>30</v>
      </c>
      <c r="C44" s="1" t="s">
        <v>19</v>
      </c>
      <c r="D44" s="1">
        <v>30621181838</v>
      </c>
      <c r="E44" s="1" t="s">
        <v>20</v>
      </c>
      <c r="F44" s="1" t="s">
        <v>376</v>
      </c>
      <c r="G44" s="1" t="s">
        <v>21</v>
      </c>
      <c r="H44" s="1" t="s">
        <v>22</v>
      </c>
      <c r="I44" s="1" t="s">
        <v>377</v>
      </c>
      <c r="J44" s="2">
        <v>21</v>
      </c>
      <c r="K44" s="12">
        <v>-46247121.659999996</v>
      </c>
      <c r="L44" s="2">
        <v>-38220761.710000001</v>
      </c>
      <c r="M44" s="2">
        <v>0</v>
      </c>
      <c r="N44" s="12">
        <v>-8026359.9500000002</v>
      </c>
      <c r="O44" s="2">
        <v>0</v>
      </c>
      <c r="P44" s="2">
        <v>0</v>
      </c>
      <c r="Q44" s="2">
        <v>0</v>
      </c>
      <c r="R44" s="2">
        <v>0</v>
      </c>
      <c r="S44" s="8" t="str">
        <f t="shared" si="0"/>
        <v>30621181838003200165238</v>
      </c>
      <c r="T44" s="14">
        <f>IFERROR(VLOOKUP(S44,AFIP!$F$2:$R$999999,12,FALSE),"NO")</f>
        <v>8026359.9500000002</v>
      </c>
      <c r="U44" s="10" t="str">
        <f t="shared" si="1"/>
        <v>NO</v>
      </c>
      <c r="V44" s="10">
        <f>IFERROR(VLOOKUP(S44,AFIP!$F$2:$R$999999,13,FALSE),"NO")</f>
        <v>46247121.659999996</v>
      </c>
      <c r="W44" s="1" t="str">
        <f t="shared" si="2"/>
        <v>NO</v>
      </c>
    </row>
    <row r="45" spans="1:23" hidden="1" x14ac:dyDescent="0.25">
      <c r="A45" s="1" t="s">
        <v>29</v>
      </c>
      <c r="B45" s="1" t="s">
        <v>30</v>
      </c>
      <c r="C45" s="1" t="s">
        <v>19</v>
      </c>
      <c r="D45" s="1">
        <v>30621181838</v>
      </c>
      <c r="E45" s="1" t="s">
        <v>20</v>
      </c>
      <c r="F45" s="1" t="s">
        <v>376</v>
      </c>
      <c r="G45" s="1" t="s">
        <v>21</v>
      </c>
      <c r="H45" s="1" t="s">
        <v>22</v>
      </c>
      <c r="I45" s="1" t="s">
        <v>378</v>
      </c>
      <c r="J45" s="2">
        <v>21</v>
      </c>
      <c r="K45" s="12">
        <v>-22640119.289999999</v>
      </c>
      <c r="L45" s="2">
        <v>-18710842.390000001</v>
      </c>
      <c r="M45" s="2">
        <v>0</v>
      </c>
      <c r="N45" s="12">
        <v>-3929276.9</v>
      </c>
      <c r="O45" s="2">
        <v>0</v>
      </c>
      <c r="P45" s="2">
        <v>0</v>
      </c>
      <c r="Q45" s="2">
        <v>0</v>
      </c>
      <c r="R45" s="2">
        <v>0</v>
      </c>
      <c r="S45" s="8" t="str">
        <f t="shared" si="0"/>
        <v>30621181838003200165239</v>
      </c>
      <c r="T45" s="14">
        <f>IFERROR(VLOOKUP(S45,AFIP!$F$2:$R$999999,12,FALSE),"NO")</f>
        <v>3929276.9</v>
      </c>
      <c r="U45" s="10" t="str">
        <f t="shared" si="1"/>
        <v>NO</v>
      </c>
      <c r="V45" s="10">
        <f>IFERROR(VLOOKUP(S45,AFIP!$F$2:$R$999999,13,FALSE),"NO")</f>
        <v>22640119.289999999</v>
      </c>
      <c r="W45" s="1" t="str">
        <f t="shared" si="2"/>
        <v>NO</v>
      </c>
    </row>
    <row r="46" spans="1:23" hidden="1" x14ac:dyDescent="0.25">
      <c r="A46" s="1" t="s">
        <v>31</v>
      </c>
      <c r="B46" s="1" t="s">
        <v>32</v>
      </c>
      <c r="C46" s="1" t="s">
        <v>19</v>
      </c>
      <c r="D46" s="1">
        <v>30500529071</v>
      </c>
      <c r="E46" s="1" t="s">
        <v>20</v>
      </c>
      <c r="F46" s="1" t="s">
        <v>376</v>
      </c>
      <c r="G46" s="1" t="s">
        <v>21</v>
      </c>
      <c r="H46" s="1" t="s">
        <v>22</v>
      </c>
      <c r="I46" s="1" t="s">
        <v>379</v>
      </c>
      <c r="J46" s="2">
        <v>21</v>
      </c>
      <c r="K46" s="12">
        <v>-25310.11</v>
      </c>
      <c r="L46" s="2">
        <v>-20411.38</v>
      </c>
      <c r="M46" s="2">
        <v>0</v>
      </c>
      <c r="N46" s="12">
        <v>-4286.3900000000003</v>
      </c>
      <c r="O46" s="2">
        <v>-612.34</v>
      </c>
      <c r="P46" s="2">
        <v>0</v>
      </c>
      <c r="Q46" s="2">
        <v>0</v>
      </c>
      <c r="R46" s="2">
        <v>0</v>
      </c>
      <c r="S46" s="8" t="str">
        <f t="shared" si="0"/>
        <v>30500529071020100270207</v>
      </c>
      <c r="T46" s="14">
        <f>IFERROR(VLOOKUP(S46,AFIP!$F$2:$R$999999,12,FALSE),"NO")</f>
        <v>4286.3900000000003</v>
      </c>
      <c r="U46" s="10" t="str">
        <f t="shared" si="1"/>
        <v>NO</v>
      </c>
      <c r="V46" s="10">
        <f>IFERROR(VLOOKUP(S46,AFIP!$F$2:$R$999999,13,FALSE),"NO")</f>
        <v>25310.11</v>
      </c>
      <c r="W46" s="1" t="str">
        <f t="shared" si="2"/>
        <v>NO</v>
      </c>
    </row>
    <row r="47" spans="1:23" hidden="1" x14ac:dyDescent="0.25">
      <c r="A47" s="1" t="s">
        <v>17</v>
      </c>
      <c r="B47" s="1" t="s">
        <v>18</v>
      </c>
      <c r="C47" s="1" t="s">
        <v>19</v>
      </c>
      <c r="D47" s="1">
        <v>30500529454</v>
      </c>
      <c r="E47" s="1" t="s">
        <v>20</v>
      </c>
      <c r="F47" s="1" t="s">
        <v>376</v>
      </c>
      <c r="G47" s="1" t="s">
        <v>21</v>
      </c>
      <c r="H47" s="1" t="s">
        <v>22</v>
      </c>
      <c r="I47" s="1" t="s">
        <v>380</v>
      </c>
      <c r="J47" s="2">
        <v>21</v>
      </c>
      <c r="K47" s="12">
        <v>-451190.87</v>
      </c>
      <c r="L47" s="2">
        <v>-372885.02</v>
      </c>
      <c r="M47" s="2">
        <v>0</v>
      </c>
      <c r="N47" s="12">
        <v>-78305.850000000006</v>
      </c>
      <c r="O47" s="2">
        <v>0</v>
      </c>
      <c r="P47" s="2">
        <v>0</v>
      </c>
      <c r="Q47" s="2">
        <v>0</v>
      </c>
      <c r="R47" s="2">
        <v>0</v>
      </c>
      <c r="S47" s="8" t="str">
        <f t="shared" si="0"/>
        <v>30500529454026700172857</v>
      </c>
      <c r="T47" s="14">
        <f>IFERROR(VLOOKUP(S47,AFIP!$F$2:$R$999999,12,FALSE),"NO")</f>
        <v>78305.850000000006</v>
      </c>
      <c r="U47" s="10" t="str">
        <f t="shared" si="1"/>
        <v>NO</v>
      </c>
      <c r="V47" s="10">
        <f>IFERROR(VLOOKUP(S47,AFIP!$F$2:$R$999999,13,FALSE),"NO")</f>
        <v>451190.87</v>
      </c>
      <c r="W47" s="1" t="str">
        <f t="shared" si="2"/>
        <v>NO</v>
      </c>
    </row>
    <row r="48" spans="1:23" hidden="1" x14ac:dyDescent="0.25">
      <c r="A48" s="1" t="s">
        <v>232</v>
      </c>
      <c r="B48" s="1" t="s">
        <v>233</v>
      </c>
      <c r="C48" s="1" t="s">
        <v>19</v>
      </c>
      <c r="D48" s="1">
        <v>30714379468</v>
      </c>
      <c r="E48" s="1" t="s">
        <v>20</v>
      </c>
      <c r="F48" s="1" t="s">
        <v>381</v>
      </c>
      <c r="G48" s="1" t="s">
        <v>21</v>
      </c>
      <c r="H48" s="1" t="s">
        <v>22</v>
      </c>
      <c r="I48" s="1" t="s">
        <v>382</v>
      </c>
      <c r="J48" s="2">
        <v>21</v>
      </c>
      <c r="K48" s="12">
        <v>-291133.87</v>
      </c>
      <c r="L48" s="2">
        <v>-240606.5</v>
      </c>
      <c r="M48" s="2">
        <v>0</v>
      </c>
      <c r="N48" s="12">
        <v>-50527.37</v>
      </c>
      <c r="O48" s="2">
        <v>0</v>
      </c>
      <c r="P48" s="2">
        <v>0</v>
      </c>
      <c r="Q48" s="2">
        <v>0</v>
      </c>
      <c r="R48" s="2">
        <v>0</v>
      </c>
      <c r="S48" s="8" t="str">
        <f t="shared" si="0"/>
        <v>30714379468000200001447</v>
      </c>
      <c r="T48" s="14">
        <f>IFERROR(VLOOKUP(S48,AFIP!$F$2:$R$999999,12,FALSE),"NO")</f>
        <v>50527.37</v>
      </c>
      <c r="U48" s="10" t="str">
        <f t="shared" si="1"/>
        <v>NO</v>
      </c>
      <c r="V48" s="10">
        <f>IFERROR(VLOOKUP(S48,AFIP!$F$2:$R$999999,13,FALSE),"NO")</f>
        <v>291133.87</v>
      </c>
      <c r="W48" s="1" t="str">
        <f t="shared" si="2"/>
        <v>NO</v>
      </c>
    </row>
    <row r="49" spans="1:23" hidden="1" x14ac:dyDescent="0.25">
      <c r="A49" s="1" t="s">
        <v>304</v>
      </c>
      <c r="B49" s="1" t="s">
        <v>305</v>
      </c>
      <c r="C49" s="1" t="s">
        <v>19</v>
      </c>
      <c r="D49" s="1">
        <v>30707843094</v>
      </c>
      <c r="E49" s="1" t="s">
        <v>20</v>
      </c>
      <c r="F49" s="1" t="s">
        <v>381</v>
      </c>
      <c r="G49" s="1" t="s">
        <v>21</v>
      </c>
      <c r="H49" s="1" t="s">
        <v>22</v>
      </c>
      <c r="I49" s="1" t="s">
        <v>383</v>
      </c>
      <c r="J49" s="2">
        <v>21</v>
      </c>
      <c r="K49" s="12">
        <v>-13300</v>
      </c>
      <c r="L49" s="2">
        <v>-10991.74</v>
      </c>
      <c r="M49" s="2">
        <v>0</v>
      </c>
      <c r="N49" s="12">
        <v>-2308.2600000000002</v>
      </c>
      <c r="O49" s="2">
        <v>0</v>
      </c>
      <c r="P49" s="2">
        <v>0</v>
      </c>
      <c r="Q49" s="2">
        <v>0</v>
      </c>
      <c r="R49" s="2">
        <v>0</v>
      </c>
      <c r="S49" s="8" t="str">
        <f t="shared" si="0"/>
        <v>30707843094001300000270</v>
      </c>
      <c r="T49" s="14">
        <f>IFERROR(VLOOKUP(S49,AFIP!$F$2:$R$999999,12,FALSE),"NO")</f>
        <v>2308.2600000000002</v>
      </c>
      <c r="U49" s="10" t="str">
        <f t="shared" si="1"/>
        <v>NO</v>
      </c>
      <c r="V49" s="10">
        <f>IFERROR(VLOOKUP(S49,AFIP!$F$2:$R$999999,13,FALSE),"NO")</f>
        <v>13300</v>
      </c>
      <c r="W49" s="1" t="str">
        <f t="shared" si="2"/>
        <v>NO</v>
      </c>
    </row>
    <row r="50" spans="1:23" hidden="1" x14ac:dyDescent="0.25">
      <c r="A50" s="1" t="s">
        <v>49</v>
      </c>
      <c r="B50" s="1" t="s">
        <v>50</v>
      </c>
      <c r="C50" s="1" t="s">
        <v>19</v>
      </c>
      <c r="D50" s="1">
        <v>30523412236</v>
      </c>
      <c r="E50" s="1" t="s">
        <v>20</v>
      </c>
      <c r="F50" s="1" t="s">
        <v>381</v>
      </c>
      <c r="G50" s="1" t="s">
        <v>21</v>
      </c>
      <c r="H50" s="1" t="s">
        <v>22</v>
      </c>
      <c r="I50" s="1" t="s">
        <v>384</v>
      </c>
      <c r="J50" s="2">
        <v>21</v>
      </c>
      <c r="K50" s="12">
        <v>-63241.760000000002</v>
      </c>
      <c r="L50" s="2">
        <v>-52265.919999999998</v>
      </c>
      <c r="M50" s="2">
        <v>0</v>
      </c>
      <c r="N50" s="12">
        <v>-10975.84</v>
      </c>
      <c r="O50" s="2">
        <v>0</v>
      </c>
      <c r="P50" s="2">
        <v>0</v>
      </c>
      <c r="Q50" s="2">
        <v>0</v>
      </c>
      <c r="R50" s="2">
        <v>0</v>
      </c>
      <c r="S50" s="8" t="str">
        <f t="shared" si="0"/>
        <v>30523412236001400012898</v>
      </c>
      <c r="T50" s="14">
        <f>IFERROR(VLOOKUP(S50,AFIP!$F$2:$R$999999,12,FALSE),"NO")</f>
        <v>10975.84</v>
      </c>
      <c r="U50" s="10" t="str">
        <f t="shared" si="1"/>
        <v>NO</v>
      </c>
      <c r="V50" s="10">
        <f>IFERROR(VLOOKUP(S50,AFIP!$F$2:$R$999999,13,FALSE),"NO")</f>
        <v>63241.760000000002</v>
      </c>
      <c r="W50" s="1" t="str">
        <f t="shared" si="2"/>
        <v>NO</v>
      </c>
    </row>
    <row r="51" spans="1:23" hidden="1" x14ac:dyDescent="0.25">
      <c r="A51" s="1" t="s">
        <v>49</v>
      </c>
      <c r="B51" s="1" t="s">
        <v>50</v>
      </c>
      <c r="C51" s="1" t="s">
        <v>19</v>
      </c>
      <c r="D51" s="1">
        <v>30523412236</v>
      </c>
      <c r="E51" s="1" t="s">
        <v>20</v>
      </c>
      <c r="F51" s="1" t="s">
        <v>381</v>
      </c>
      <c r="G51" s="1" t="s">
        <v>21</v>
      </c>
      <c r="H51" s="1" t="s">
        <v>22</v>
      </c>
      <c r="I51" s="1" t="s">
        <v>385</v>
      </c>
      <c r="J51" s="2">
        <v>21</v>
      </c>
      <c r="K51" s="12">
        <v>-573691.46</v>
      </c>
      <c r="L51" s="2">
        <v>-474125.17</v>
      </c>
      <c r="M51" s="2">
        <v>0</v>
      </c>
      <c r="N51" s="12">
        <v>-99566.29</v>
      </c>
      <c r="O51" s="2">
        <v>0</v>
      </c>
      <c r="P51" s="2">
        <v>0</v>
      </c>
      <c r="Q51" s="2">
        <v>0</v>
      </c>
      <c r="R51" s="2">
        <v>0</v>
      </c>
      <c r="S51" s="8" t="str">
        <f t="shared" si="0"/>
        <v>30523412236001400012899</v>
      </c>
      <c r="T51" s="14">
        <f>IFERROR(VLOOKUP(S51,AFIP!$F$2:$R$999999,12,FALSE),"NO")</f>
        <v>99566.29</v>
      </c>
      <c r="U51" s="10" t="str">
        <f t="shared" si="1"/>
        <v>NO</v>
      </c>
      <c r="V51" s="10">
        <f>IFERROR(VLOOKUP(S51,AFIP!$F$2:$R$999999,13,FALSE),"NO")</f>
        <v>573691.46</v>
      </c>
      <c r="W51" s="1" t="str">
        <f t="shared" si="2"/>
        <v>NO</v>
      </c>
    </row>
    <row r="52" spans="1:23" hidden="1" x14ac:dyDescent="0.25">
      <c r="A52" s="1" t="s">
        <v>29</v>
      </c>
      <c r="B52" s="1" t="s">
        <v>30</v>
      </c>
      <c r="C52" s="1" t="s">
        <v>19</v>
      </c>
      <c r="D52" s="1">
        <v>30621181838</v>
      </c>
      <c r="E52" s="1" t="s">
        <v>20</v>
      </c>
      <c r="F52" s="1" t="s">
        <v>381</v>
      </c>
      <c r="G52" s="1" t="s">
        <v>21</v>
      </c>
      <c r="H52" s="1" t="s">
        <v>22</v>
      </c>
      <c r="I52" s="1" t="s">
        <v>386</v>
      </c>
      <c r="J52" s="2">
        <v>21</v>
      </c>
      <c r="K52" s="12">
        <v>-233452.28</v>
      </c>
      <c r="L52" s="2">
        <v>-192935.77</v>
      </c>
      <c r="M52" s="2">
        <v>0</v>
      </c>
      <c r="N52" s="12">
        <v>-40516.51</v>
      </c>
      <c r="O52" s="2">
        <v>0</v>
      </c>
      <c r="P52" s="2">
        <v>0</v>
      </c>
      <c r="Q52" s="2">
        <v>0</v>
      </c>
      <c r="R52" s="2">
        <v>0</v>
      </c>
      <c r="S52" s="8" t="str">
        <f t="shared" si="0"/>
        <v>30621181838003200165244</v>
      </c>
      <c r="T52" s="14">
        <f>IFERROR(VLOOKUP(S52,AFIP!$F$2:$R$999999,12,FALSE),"NO")</f>
        <v>40516.51</v>
      </c>
      <c r="U52" s="10" t="str">
        <f t="shared" si="1"/>
        <v>NO</v>
      </c>
      <c r="V52" s="10">
        <f>IFERROR(VLOOKUP(S52,AFIP!$F$2:$R$999999,13,FALSE),"NO")</f>
        <v>233452.28</v>
      </c>
      <c r="W52" s="1" t="str">
        <f t="shared" si="2"/>
        <v>NO</v>
      </c>
    </row>
    <row r="53" spans="1:23" hidden="1" x14ac:dyDescent="0.25">
      <c r="A53" s="1" t="s">
        <v>29</v>
      </c>
      <c r="B53" s="1" t="s">
        <v>30</v>
      </c>
      <c r="C53" s="1" t="s">
        <v>19</v>
      </c>
      <c r="D53" s="1">
        <v>30621181838</v>
      </c>
      <c r="E53" s="1" t="s">
        <v>20</v>
      </c>
      <c r="F53" s="1" t="s">
        <v>381</v>
      </c>
      <c r="G53" s="1" t="s">
        <v>21</v>
      </c>
      <c r="H53" s="1" t="s">
        <v>22</v>
      </c>
      <c r="I53" s="1" t="s">
        <v>387</v>
      </c>
      <c r="J53" s="2">
        <v>21</v>
      </c>
      <c r="K53" s="12">
        <v>-80873.100000000006</v>
      </c>
      <c r="L53" s="2">
        <v>-66837.27</v>
      </c>
      <c r="M53" s="2">
        <v>0</v>
      </c>
      <c r="N53" s="12">
        <v>-14035.83</v>
      </c>
      <c r="O53" s="2">
        <v>0</v>
      </c>
      <c r="P53" s="2">
        <v>0</v>
      </c>
      <c r="Q53" s="2">
        <v>0</v>
      </c>
      <c r="R53" s="2">
        <v>0</v>
      </c>
      <c r="S53" s="8" t="str">
        <f t="shared" si="0"/>
        <v>30621181838003200165245</v>
      </c>
      <c r="T53" s="14">
        <f>IFERROR(VLOOKUP(S53,AFIP!$F$2:$R$999999,12,FALSE),"NO")</f>
        <v>14035.83</v>
      </c>
      <c r="U53" s="10" t="str">
        <f t="shared" si="1"/>
        <v>NO</v>
      </c>
      <c r="V53" s="10">
        <f>IFERROR(VLOOKUP(S53,AFIP!$F$2:$R$999999,13,FALSE),"NO")</f>
        <v>80873.100000000006</v>
      </c>
      <c r="W53" s="1" t="str">
        <f t="shared" si="2"/>
        <v>NO</v>
      </c>
    </row>
    <row r="54" spans="1:23" hidden="1" x14ac:dyDescent="0.25">
      <c r="A54" s="1" t="s">
        <v>17</v>
      </c>
      <c r="B54" s="1" t="s">
        <v>18</v>
      </c>
      <c r="C54" s="1" t="s">
        <v>19</v>
      </c>
      <c r="D54" s="1">
        <v>30500529454</v>
      </c>
      <c r="E54" s="1" t="s">
        <v>20</v>
      </c>
      <c r="F54" s="1" t="s">
        <v>381</v>
      </c>
      <c r="G54" s="1" t="s">
        <v>21</v>
      </c>
      <c r="H54" s="1" t="s">
        <v>22</v>
      </c>
      <c r="I54" s="1" t="s">
        <v>388</v>
      </c>
      <c r="J54" s="2">
        <v>21</v>
      </c>
      <c r="K54" s="12">
        <v>-9212977.2400000002</v>
      </c>
      <c r="L54" s="2">
        <v>-7614030.7800000003</v>
      </c>
      <c r="M54" s="2">
        <v>0</v>
      </c>
      <c r="N54" s="12">
        <v>-1598946.46</v>
      </c>
      <c r="O54" s="2">
        <v>0</v>
      </c>
      <c r="P54" s="2">
        <v>0</v>
      </c>
      <c r="Q54" s="2">
        <v>0</v>
      </c>
      <c r="R54" s="2">
        <v>0</v>
      </c>
      <c r="S54" s="8" t="str">
        <f t="shared" si="0"/>
        <v>30500529454026700172890</v>
      </c>
      <c r="T54" s="14">
        <f>IFERROR(VLOOKUP(S54,AFIP!$F$2:$R$999999,12,FALSE),"NO")</f>
        <v>1598946.46</v>
      </c>
      <c r="U54" s="10" t="str">
        <f t="shared" si="1"/>
        <v>NO</v>
      </c>
      <c r="V54" s="10">
        <f>IFERROR(VLOOKUP(S54,AFIP!$F$2:$R$999999,13,FALSE),"NO")</f>
        <v>9212977.2400000002</v>
      </c>
      <c r="W54" s="1" t="str">
        <f t="shared" si="2"/>
        <v>NO</v>
      </c>
    </row>
    <row r="55" spans="1:23" hidden="1" x14ac:dyDescent="0.25">
      <c r="A55" s="1" t="s">
        <v>17</v>
      </c>
      <c r="B55" s="1" t="s">
        <v>18</v>
      </c>
      <c r="C55" s="1" t="s">
        <v>19</v>
      </c>
      <c r="D55" s="1">
        <v>30500529454</v>
      </c>
      <c r="E55" s="1" t="s">
        <v>20</v>
      </c>
      <c r="F55" s="1" t="s">
        <v>381</v>
      </c>
      <c r="G55" s="1" t="s">
        <v>21</v>
      </c>
      <c r="H55" s="1" t="s">
        <v>22</v>
      </c>
      <c r="I55" s="1" t="s">
        <v>389</v>
      </c>
      <c r="J55" s="2">
        <v>21</v>
      </c>
      <c r="K55" s="12">
        <v>-6877715.0199999996</v>
      </c>
      <c r="L55" s="2">
        <v>-5684062</v>
      </c>
      <c r="M55" s="2">
        <v>0</v>
      </c>
      <c r="N55" s="12">
        <v>-1193653.02</v>
      </c>
      <c r="O55" s="2">
        <v>0</v>
      </c>
      <c r="P55" s="2">
        <v>0</v>
      </c>
      <c r="Q55" s="2">
        <v>0</v>
      </c>
      <c r="R55" s="2">
        <v>0</v>
      </c>
      <c r="S55" s="8" t="str">
        <f t="shared" si="0"/>
        <v>30500529454026700172891</v>
      </c>
      <c r="T55" s="14">
        <f>IFERROR(VLOOKUP(S55,AFIP!$F$2:$R$999999,12,FALSE),"NO")</f>
        <v>1193653.02</v>
      </c>
      <c r="U55" s="10" t="str">
        <f t="shared" si="1"/>
        <v>NO</v>
      </c>
      <c r="V55" s="10">
        <f>IFERROR(VLOOKUP(S55,AFIP!$F$2:$R$999999,13,FALSE),"NO")</f>
        <v>6877715.0199999996</v>
      </c>
      <c r="W55" s="1" t="str">
        <f t="shared" si="2"/>
        <v>NO</v>
      </c>
    </row>
    <row r="56" spans="1:23" hidden="1" x14ac:dyDescent="0.25">
      <c r="A56" s="1" t="s">
        <v>17</v>
      </c>
      <c r="B56" s="1" t="s">
        <v>18</v>
      </c>
      <c r="C56" s="1" t="s">
        <v>19</v>
      </c>
      <c r="D56" s="1">
        <v>30500529454</v>
      </c>
      <c r="E56" s="1" t="s">
        <v>20</v>
      </c>
      <c r="F56" s="1" t="s">
        <v>381</v>
      </c>
      <c r="G56" s="1" t="s">
        <v>21</v>
      </c>
      <c r="H56" s="1" t="s">
        <v>22</v>
      </c>
      <c r="I56" s="1" t="s">
        <v>390</v>
      </c>
      <c r="J56" s="2">
        <v>21</v>
      </c>
      <c r="K56" s="12">
        <v>-933612.77</v>
      </c>
      <c r="L56" s="2">
        <v>-771580.8</v>
      </c>
      <c r="M56" s="2">
        <v>0</v>
      </c>
      <c r="N56" s="12">
        <v>-162031.97</v>
      </c>
      <c r="O56" s="2">
        <v>0</v>
      </c>
      <c r="P56" s="2">
        <v>0</v>
      </c>
      <c r="Q56" s="2">
        <v>0</v>
      </c>
      <c r="R56" s="2">
        <v>0</v>
      </c>
      <c r="S56" s="8" t="str">
        <f t="shared" si="0"/>
        <v>30500529454026700172892</v>
      </c>
      <c r="T56" s="14">
        <f>IFERROR(VLOOKUP(S56,AFIP!$F$2:$R$999999,12,FALSE),"NO")</f>
        <v>162031.97</v>
      </c>
      <c r="U56" s="10" t="str">
        <f t="shared" si="1"/>
        <v>NO</v>
      </c>
      <c r="V56" s="10">
        <f>IFERROR(VLOOKUP(S56,AFIP!$F$2:$R$999999,13,FALSE),"NO")</f>
        <v>933612.77</v>
      </c>
      <c r="W56" s="1" t="str">
        <f t="shared" si="2"/>
        <v>NO</v>
      </c>
    </row>
    <row r="57" spans="1:23" hidden="1" x14ac:dyDescent="0.25">
      <c r="A57" s="1" t="s">
        <v>29</v>
      </c>
      <c r="B57" s="1" t="s">
        <v>30</v>
      </c>
      <c r="C57" s="1" t="s">
        <v>19</v>
      </c>
      <c r="D57" s="1">
        <v>30621181838</v>
      </c>
      <c r="E57" s="1" t="s">
        <v>20</v>
      </c>
      <c r="F57" s="1" t="s">
        <v>391</v>
      </c>
      <c r="G57" s="1" t="s">
        <v>21</v>
      </c>
      <c r="H57" s="1" t="s">
        <v>22</v>
      </c>
      <c r="I57" s="1" t="s">
        <v>392</v>
      </c>
      <c r="J57" s="2">
        <v>21</v>
      </c>
      <c r="K57" s="12">
        <v>-14023309.630000001</v>
      </c>
      <c r="L57" s="2">
        <v>-11589512.09</v>
      </c>
      <c r="M57" s="2">
        <v>0</v>
      </c>
      <c r="N57" s="12">
        <v>-2433797.54</v>
      </c>
      <c r="O57" s="2">
        <v>0</v>
      </c>
      <c r="P57" s="2">
        <v>0</v>
      </c>
      <c r="Q57" s="2">
        <v>0</v>
      </c>
      <c r="R57" s="2">
        <v>0</v>
      </c>
      <c r="S57" s="8" t="str">
        <f t="shared" si="0"/>
        <v>30621181838003200165262</v>
      </c>
      <c r="T57" s="14">
        <f>IFERROR(VLOOKUP(S57,AFIP!$F$2:$R$999999,12,FALSE),"NO")</f>
        <v>2433797.54</v>
      </c>
      <c r="U57" s="10" t="str">
        <f t="shared" si="1"/>
        <v>NO</v>
      </c>
      <c r="V57" s="10">
        <f>IFERROR(VLOOKUP(S57,AFIP!$F$2:$R$999999,13,FALSE),"NO")</f>
        <v>14023309.630000001</v>
      </c>
      <c r="W57" s="1" t="str">
        <f t="shared" si="2"/>
        <v>NO</v>
      </c>
    </row>
    <row r="58" spans="1:23" hidden="1" x14ac:dyDescent="0.25">
      <c r="A58" s="1" t="s">
        <v>29</v>
      </c>
      <c r="B58" s="1" t="s">
        <v>30</v>
      </c>
      <c r="C58" s="1" t="s">
        <v>19</v>
      </c>
      <c r="D58" s="1">
        <v>30621181838</v>
      </c>
      <c r="E58" s="1" t="s">
        <v>20</v>
      </c>
      <c r="F58" s="1" t="s">
        <v>391</v>
      </c>
      <c r="G58" s="1" t="s">
        <v>21</v>
      </c>
      <c r="H58" s="1" t="s">
        <v>22</v>
      </c>
      <c r="I58" s="1" t="s">
        <v>393</v>
      </c>
      <c r="J58" s="2">
        <v>21</v>
      </c>
      <c r="K58" s="12">
        <v>-4922940.3499999996</v>
      </c>
      <c r="L58" s="2">
        <v>-4068545.74</v>
      </c>
      <c r="M58" s="2">
        <v>0</v>
      </c>
      <c r="N58" s="12">
        <v>-854394.61</v>
      </c>
      <c r="O58" s="2">
        <v>0</v>
      </c>
      <c r="P58" s="2">
        <v>0</v>
      </c>
      <c r="Q58" s="2">
        <v>0</v>
      </c>
      <c r="R58" s="2">
        <v>0</v>
      </c>
      <c r="S58" s="8" t="str">
        <f t="shared" si="0"/>
        <v>30621181838003200165263</v>
      </c>
      <c r="T58" s="14">
        <f>IFERROR(VLOOKUP(S58,AFIP!$F$2:$R$999999,12,FALSE),"NO")</f>
        <v>854394.61</v>
      </c>
      <c r="U58" s="10" t="str">
        <f t="shared" si="1"/>
        <v>NO</v>
      </c>
      <c r="V58" s="10">
        <f>IFERROR(VLOOKUP(S58,AFIP!$F$2:$R$999999,13,FALSE),"NO")</f>
        <v>4922940.3499999996</v>
      </c>
      <c r="W58" s="1" t="str">
        <f t="shared" si="2"/>
        <v>NO</v>
      </c>
    </row>
    <row r="59" spans="1:23" hidden="1" x14ac:dyDescent="0.25">
      <c r="A59" s="1" t="s">
        <v>29</v>
      </c>
      <c r="B59" s="1" t="s">
        <v>30</v>
      </c>
      <c r="C59" s="1" t="s">
        <v>19</v>
      </c>
      <c r="D59" s="1">
        <v>30621181838</v>
      </c>
      <c r="E59" s="1" t="s">
        <v>20</v>
      </c>
      <c r="F59" s="1" t="s">
        <v>391</v>
      </c>
      <c r="G59" s="1" t="s">
        <v>21</v>
      </c>
      <c r="H59" s="1" t="s">
        <v>22</v>
      </c>
      <c r="I59" s="1" t="s">
        <v>394</v>
      </c>
      <c r="J59" s="2">
        <v>21</v>
      </c>
      <c r="K59" s="12">
        <v>-1248142.3799999999</v>
      </c>
      <c r="L59" s="2">
        <v>-1031522.63</v>
      </c>
      <c r="M59" s="2">
        <v>0</v>
      </c>
      <c r="N59" s="12">
        <v>-216619.75</v>
      </c>
      <c r="O59" s="2">
        <v>0</v>
      </c>
      <c r="P59" s="2">
        <v>0</v>
      </c>
      <c r="Q59" s="2">
        <v>0</v>
      </c>
      <c r="R59" s="2">
        <v>0</v>
      </c>
      <c r="S59" s="8" t="str">
        <f t="shared" si="0"/>
        <v>30621181838003200165264</v>
      </c>
      <c r="T59" s="14">
        <f>IFERROR(VLOOKUP(S59,AFIP!$F$2:$R$999999,12,FALSE),"NO")</f>
        <v>216619.75</v>
      </c>
      <c r="U59" s="10" t="str">
        <f t="shared" si="1"/>
        <v>NO</v>
      </c>
      <c r="V59" s="10">
        <f>IFERROR(VLOOKUP(S59,AFIP!$F$2:$R$999999,13,FALSE),"NO")</f>
        <v>1248142.3799999999</v>
      </c>
      <c r="W59" s="1" t="str">
        <f t="shared" si="2"/>
        <v>NO</v>
      </c>
    </row>
    <row r="60" spans="1:23" hidden="1" x14ac:dyDescent="0.25">
      <c r="A60" s="1" t="s">
        <v>29</v>
      </c>
      <c r="B60" s="1" t="s">
        <v>30</v>
      </c>
      <c r="C60" s="1" t="s">
        <v>19</v>
      </c>
      <c r="D60" s="1">
        <v>30621181838</v>
      </c>
      <c r="E60" s="1" t="s">
        <v>20</v>
      </c>
      <c r="F60" s="1" t="s">
        <v>391</v>
      </c>
      <c r="G60" s="1" t="s">
        <v>21</v>
      </c>
      <c r="H60" s="1" t="s">
        <v>22</v>
      </c>
      <c r="I60" s="1" t="s">
        <v>395</v>
      </c>
      <c r="J60" s="2">
        <v>21</v>
      </c>
      <c r="K60" s="12">
        <v>-975726.3</v>
      </c>
      <c r="L60" s="2">
        <v>-806385.37</v>
      </c>
      <c r="M60" s="2">
        <v>0</v>
      </c>
      <c r="N60" s="12">
        <v>-169340.93</v>
      </c>
      <c r="O60" s="2">
        <v>0</v>
      </c>
      <c r="P60" s="2">
        <v>0</v>
      </c>
      <c r="Q60" s="2">
        <v>0</v>
      </c>
      <c r="R60" s="2">
        <v>0</v>
      </c>
      <c r="S60" s="8" t="str">
        <f t="shared" si="0"/>
        <v>30621181838003200165265</v>
      </c>
      <c r="T60" s="14">
        <f>IFERROR(VLOOKUP(S60,AFIP!$F$2:$R$999999,12,FALSE),"NO")</f>
        <v>169340.93</v>
      </c>
      <c r="U60" s="10" t="str">
        <f t="shared" si="1"/>
        <v>NO</v>
      </c>
      <c r="V60" s="10">
        <f>IFERROR(VLOOKUP(S60,AFIP!$F$2:$R$999999,13,FALSE),"NO")</f>
        <v>975726.3</v>
      </c>
      <c r="W60" s="1" t="str">
        <f t="shared" si="2"/>
        <v>NO</v>
      </c>
    </row>
    <row r="61" spans="1:23" hidden="1" x14ac:dyDescent="0.25">
      <c r="A61" s="1" t="s">
        <v>29</v>
      </c>
      <c r="B61" s="1" t="s">
        <v>30</v>
      </c>
      <c r="C61" s="1" t="s">
        <v>19</v>
      </c>
      <c r="D61" s="1">
        <v>30621181838</v>
      </c>
      <c r="E61" s="1" t="s">
        <v>20</v>
      </c>
      <c r="F61" s="1" t="s">
        <v>391</v>
      </c>
      <c r="G61" s="1" t="s">
        <v>21</v>
      </c>
      <c r="H61" s="1" t="s">
        <v>22</v>
      </c>
      <c r="I61" s="1" t="s">
        <v>396</v>
      </c>
      <c r="J61" s="2">
        <v>21</v>
      </c>
      <c r="K61" s="12">
        <v>-2679657.42</v>
      </c>
      <c r="L61" s="2">
        <v>-2214592.91</v>
      </c>
      <c r="M61" s="2">
        <v>0</v>
      </c>
      <c r="N61" s="12">
        <v>-465064.51</v>
      </c>
      <c r="O61" s="2">
        <v>0</v>
      </c>
      <c r="P61" s="2">
        <v>0</v>
      </c>
      <c r="Q61" s="2">
        <v>0</v>
      </c>
      <c r="R61" s="2">
        <v>0</v>
      </c>
      <c r="S61" s="8" t="str">
        <f t="shared" si="0"/>
        <v>30621181838003200165266</v>
      </c>
      <c r="T61" s="14">
        <f>IFERROR(VLOOKUP(S61,AFIP!$F$2:$R$999999,12,FALSE),"NO")</f>
        <v>465064.51</v>
      </c>
      <c r="U61" s="10" t="str">
        <f t="shared" si="1"/>
        <v>NO</v>
      </c>
      <c r="V61" s="10">
        <f>IFERROR(VLOOKUP(S61,AFIP!$F$2:$R$999999,13,FALSE),"NO")</f>
        <v>2679657.42</v>
      </c>
      <c r="W61" s="1" t="str">
        <f t="shared" si="2"/>
        <v>NO</v>
      </c>
    </row>
    <row r="62" spans="1:23" hidden="1" x14ac:dyDescent="0.25">
      <c r="A62" s="1" t="s">
        <v>35</v>
      </c>
      <c r="B62" s="1" t="s">
        <v>36</v>
      </c>
      <c r="C62" s="1" t="s">
        <v>19</v>
      </c>
      <c r="D62" s="1">
        <v>33522734549</v>
      </c>
      <c r="E62" s="1" t="s">
        <v>20</v>
      </c>
      <c r="F62" s="1" t="s">
        <v>397</v>
      </c>
      <c r="G62" s="1" t="s">
        <v>21</v>
      </c>
      <c r="H62" s="1" t="s">
        <v>22</v>
      </c>
      <c r="I62" s="1" t="s">
        <v>398</v>
      </c>
      <c r="J62" s="2">
        <v>21</v>
      </c>
      <c r="K62" s="12">
        <v>-1907410.41</v>
      </c>
      <c r="L62" s="2">
        <v>-1538234.2</v>
      </c>
      <c r="M62" s="2">
        <v>0</v>
      </c>
      <c r="N62" s="12">
        <v>-323029.18</v>
      </c>
      <c r="O62" s="2">
        <v>-46147.03</v>
      </c>
      <c r="P62" s="2">
        <v>0</v>
      </c>
      <c r="Q62" s="2">
        <v>0</v>
      </c>
      <c r="R62" s="2">
        <v>0</v>
      </c>
      <c r="S62" s="8" t="str">
        <f t="shared" si="0"/>
        <v>33522734549002100243455</v>
      </c>
      <c r="T62" s="14">
        <f>IFERROR(VLOOKUP(S62,AFIP!$F$2:$R$999999,12,FALSE),"NO")</f>
        <v>323029.18</v>
      </c>
      <c r="U62" s="10" t="str">
        <f t="shared" si="1"/>
        <v>NO</v>
      </c>
      <c r="V62" s="10">
        <f>IFERROR(VLOOKUP(S62,AFIP!$F$2:$R$999999,13,FALSE),"NO")</f>
        <v>1907410.41</v>
      </c>
      <c r="W62" s="1" t="str">
        <f t="shared" si="2"/>
        <v>NO</v>
      </c>
    </row>
    <row r="63" spans="1:23" hidden="1" x14ac:dyDescent="0.25">
      <c r="A63" s="1" t="s">
        <v>35</v>
      </c>
      <c r="B63" s="1" t="s">
        <v>36</v>
      </c>
      <c r="C63" s="1" t="s">
        <v>19</v>
      </c>
      <c r="D63" s="1">
        <v>33522734549</v>
      </c>
      <c r="E63" s="1" t="s">
        <v>20</v>
      </c>
      <c r="F63" s="1" t="s">
        <v>397</v>
      </c>
      <c r="G63" s="1" t="s">
        <v>21</v>
      </c>
      <c r="H63" s="1" t="s">
        <v>22</v>
      </c>
      <c r="I63" s="1" t="s">
        <v>399</v>
      </c>
      <c r="J63" s="2">
        <v>21</v>
      </c>
      <c r="K63" s="12">
        <v>-2143349.41</v>
      </c>
      <c r="L63" s="2">
        <v>-1728507.59</v>
      </c>
      <c r="M63" s="2">
        <v>0</v>
      </c>
      <c r="N63" s="12">
        <v>-362986.59</v>
      </c>
      <c r="O63" s="2">
        <v>-51855.23</v>
      </c>
      <c r="P63" s="2">
        <v>0</v>
      </c>
      <c r="Q63" s="2">
        <v>0</v>
      </c>
      <c r="R63" s="2">
        <v>0</v>
      </c>
      <c r="S63" s="8" t="str">
        <f t="shared" si="0"/>
        <v>33522734549002100243456</v>
      </c>
      <c r="T63" s="14">
        <f>IFERROR(VLOOKUP(S63,AFIP!$F$2:$R$999999,12,FALSE),"NO")</f>
        <v>362986.59</v>
      </c>
      <c r="U63" s="10" t="str">
        <f t="shared" si="1"/>
        <v>NO</v>
      </c>
      <c r="V63" s="10">
        <f>IFERROR(VLOOKUP(S63,AFIP!$F$2:$R$999999,13,FALSE),"NO")</f>
        <v>2143349.41</v>
      </c>
      <c r="W63" s="1" t="str">
        <f t="shared" si="2"/>
        <v>NO</v>
      </c>
    </row>
    <row r="64" spans="1:23" hidden="1" x14ac:dyDescent="0.25">
      <c r="A64" s="1" t="s">
        <v>35</v>
      </c>
      <c r="B64" s="1" t="s">
        <v>36</v>
      </c>
      <c r="C64" s="1" t="s">
        <v>19</v>
      </c>
      <c r="D64" s="1">
        <v>33522734549</v>
      </c>
      <c r="E64" s="1" t="s">
        <v>20</v>
      </c>
      <c r="F64" s="1" t="s">
        <v>397</v>
      </c>
      <c r="G64" s="1" t="s">
        <v>21</v>
      </c>
      <c r="H64" s="1" t="s">
        <v>22</v>
      </c>
      <c r="I64" s="1" t="s">
        <v>400</v>
      </c>
      <c r="J64" s="2">
        <v>21</v>
      </c>
      <c r="K64" s="12">
        <v>-53948.05</v>
      </c>
      <c r="L64" s="2">
        <v>-43506.5</v>
      </c>
      <c r="M64" s="2">
        <v>0</v>
      </c>
      <c r="N64" s="12">
        <v>-9136.36</v>
      </c>
      <c r="O64" s="2">
        <v>-1305.19</v>
      </c>
      <c r="P64" s="2">
        <v>0</v>
      </c>
      <c r="Q64" s="2">
        <v>0</v>
      </c>
      <c r="R64" s="2">
        <v>0</v>
      </c>
      <c r="S64" s="8" t="str">
        <f t="shared" si="0"/>
        <v>33522734549002100243457</v>
      </c>
      <c r="T64" s="14">
        <f>IFERROR(VLOOKUP(S64,AFIP!$F$2:$R$999999,12,FALSE),"NO")</f>
        <v>9136.36</v>
      </c>
      <c r="U64" s="10" t="str">
        <f t="shared" si="1"/>
        <v>NO</v>
      </c>
      <c r="V64" s="10">
        <f>IFERROR(VLOOKUP(S64,AFIP!$F$2:$R$999999,13,FALSE),"NO")</f>
        <v>53948.05</v>
      </c>
      <c r="W64" s="1" t="str">
        <f t="shared" si="2"/>
        <v>NO</v>
      </c>
    </row>
    <row r="65" spans="1:23" hidden="1" x14ac:dyDescent="0.25">
      <c r="A65" s="1" t="s">
        <v>35</v>
      </c>
      <c r="B65" s="1" t="s">
        <v>36</v>
      </c>
      <c r="C65" s="1" t="s">
        <v>19</v>
      </c>
      <c r="D65" s="1">
        <v>33522734549</v>
      </c>
      <c r="E65" s="1" t="s">
        <v>20</v>
      </c>
      <c r="F65" s="1" t="s">
        <v>397</v>
      </c>
      <c r="G65" s="1" t="s">
        <v>21</v>
      </c>
      <c r="H65" s="1" t="s">
        <v>22</v>
      </c>
      <c r="I65" s="1" t="s">
        <v>401</v>
      </c>
      <c r="J65" s="2">
        <v>21</v>
      </c>
      <c r="K65" s="12">
        <v>-4487.25</v>
      </c>
      <c r="L65" s="2">
        <v>-3618.75</v>
      </c>
      <c r="M65" s="2">
        <v>0</v>
      </c>
      <c r="N65" s="12">
        <v>-759.94</v>
      </c>
      <c r="O65" s="2">
        <v>-108.56</v>
      </c>
      <c r="P65" s="2">
        <v>0</v>
      </c>
      <c r="Q65" s="2">
        <v>0</v>
      </c>
      <c r="R65" s="2">
        <v>0</v>
      </c>
      <c r="S65" s="8" t="str">
        <f t="shared" si="0"/>
        <v>33522734549002100243458</v>
      </c>
      <c r="T65" s="14">
        <f>IFERROR(VLOOKUP(S65,AFIP!$F$2:$R$999999,12,FALSE),"NO")</f>
        <v>759.94</v>
      </c>
      <c r="U65" s="10" t="str">
        <f t="shared" si="1"/>
        <v>NO</v>
      </c>
      <c r="V65" s="10">
        <f>IFERROR(VLOOKUP(S65,AFIP!$F$2:$R$999999,13,FALSE),"NO")</f>
        <v>4487.25</v>
      </c>
      <c r="W65" s="1" t="str">
        <f t="shared" si="2"/>
        <v>NO</v>
      </c>
    </row>
    <row r="66" spans="1:23" hidden="1" x14ac:dyDescent="0.25">
      <c r="A66" s="1" t="s">
        <v>35</v>
      </c>
      <c r="B66" s="1" t="s">
        <v>36</v>
      </c>
      <c r="C66" s="1" t="s">
        <v>19</v>
      </c>
      <c r="D66" s="1">
        <v>33522734549</v>
      </c>
      <c r="E66" s="1" t="s">
        <v>20</v>
      </c>
      <c r="F66" s="1" t="s">
        <v>397</v>
      </c>
      <c r="G66" s="1" t="s">
        <v>21</v>
      </c>
      <c r="H66" s="1" t="s">
        <v>22</v>
      </c>
      <c r="I66" s="1" t="s">
        <v>402</v>
      </c>
      <c r="J66" s="2">
        <v>21</v>
      </c>
      <c r="K66" s="12">
        <v>-45556.959999999999</v>
      </c>
      <c r="L66" s="2">
        <v>-36739.49</v>
      </c>
      <c r="M66" s="2">
        <v>0</v>
      </c>
      <c r="N66" s="12">
        <v>-7715.29</v>
      </c>
      <c r="O66" s="2">
        <v>-1102.18</v>
      </c>
      <c r="P66" s="2">
        <v>0</v>
      </c>
      <c r="Q66" s="2">
        <v>0</v>
      </c>
      <c r="R66" s="2">
        <v>0</v>
      </c>
      <c r="S66" s="8" t="str">
        <f t="shared" si="0"/>
        <v>33522734549002100243459</v>
      </c>
      <c r="T66" s="14">
        <f>IFERROR(VLOOKUP(S66,AFIP!$F$2:$R$999999,12,FALSE),"NO")</f>
        <v>7715.29</v>
      </c>
      <c r="U66" s="10" t="str">
        <f t="shared" si="1"/>
        <v>NO</v>
      </c>
      <c r="V66" s="10">
        <f>IFERROR(VLOOKUP(S66,AFIP!$F$2:$R$999999,13,FALSE),"NO")</f>
        <v>45556.959999999999</v>
      </c>
      <c r="W66" s="1" t="str">
        <f t="shared" si="2"/>
        <v>NO</v>
      </c>
    </row>
    <row r="67" spans="1:23" hidden="1" x14ac:dyDescent="0.25">
      <c r="A67" s="1" t="s">
        <v>234</v>
      </c>
      <c r="B67" s="1" t="s">
        <v>235</v>
      </c>
      <c r="C67" s="1" t="s">
        <v>19</v>
      </c>
      <c r="D67" s="1">
        <v>30500563059</v>
      </c>
      <c r="E67" s="1" t="s">
        <v>20</v>
      </c>
      <c r="F67" s="1" t="s">
        <v>403</v>
      </c>
      <c r="G67" s="1" t="s">
        <v>21</v>
      </c>
      <c r="H67" s="1" t="s">
        <v>22</v>
      </c>
      <c r="I67" s="1" t="s">
        <v>404</v>
      </c>
      <c r="J67" s="2">
        <v>21</v>
      </c>
      <c r="K67" s="12">
        <v>-6651631.4400000004</v>
      </c>
      <c r="L67" s="2">
        <v>-5497216.0700000003</v>
      </c>
      <c r="M67" s="2">
        <v>0</v>
      </c>
      <c r="N67" s="12">
        <v>-1154415.3700000001</v>
      </c>
      <c r="O67" s="2">
        <v>0</v>
      </c>
      <c r="P67" s="2">
        <v>0</v>
      </c>
      <c r="Q67" s="2">
        <v>0</v>
      </c>
      <c r="R67" s="2">
        <v>0</v>
      </c>
      <c r="S67" s="8" t="str">
        <f t="shared" ref="S67:S130" si="3">D67&amp;I67</f>
        <v>30500563059000400011921</v>
      </c>
      <c r="T67" s="14">
        <f>IFERROR(VLOOKUP(S67,AFIP!$F$2:$R$999999,12,FALSE),"NO")</f>
        <v>1154415.3700000001</v>
      </c>
      <c r="U67" s="10" t="str">
        <f t="shared" ref="U67:U130" si="4">IF(N67=T67,"SI","NO")</f>
        <v>NO</v>
      </c>
      <c r="V67" s="10">
        <f>IFERROR(VLOOKUP(S67,AFIP!$F$2:$R$999999,13,FALSE),"NO")</f>
        <v>6651631.4400000004</v>
      </c>
      <c r="W67" s="1" t="str">
        <f t="shared" ref="W67:W130" si="5">IF(K67=V67,"SI","NO")</f>
        <v>NO</v>
      </c>
    </row>
    <row r="68" spans="1:23" hidden="1" x14ac:dyDescent="0.25">
      <c r="A68" s="1" t="s">
        <v>234</v>
      </c>
      <c r="B68" s="1" t="s">
        <v>235</v>
      </c>
      <c r="C68" s="1" t="s">
        <v>19</v>
      </c>
      <c r="D68" s="1">
        <v>30500563059</v>
      </c>
      <c r="E68" s="1" t="s">
        <v>20</v>
      </c>
      <c r="F68" s="1" t="s">
        <v>403</v>
      </c>
      <c r="G68" s="1" t="s">
        <v>21</v>
      </c>
      <c r="H68" s="1" t="s">
        <v>22</v>
      </c>
      <c r="I68" s="1" t="s">
        <v>405</v>
      </c>
      <c r="J68" s="2">
        <v>21</v>
      </c>
      <c r="K68" s="12">
        <v>-2027.42</v>
      </c>
      <c r="L68" s="2">
        <v>-1675.55</v>
      </c>
      <c r="M68" s="2">
        <v>0</v>
      </c>
      <c r="N68" s="12">
        <v>-351.87</v>
      </c>
      <c r="O68" s="2">
        <v>0</v>
      </c>
      <c r="P68" s="2">
        <v>0</v>
      </c>
      <c r="Q68" s="2">
        <v>0</v>
      </c>
      <c r="R68" s="2">
        <v>0</v>
      </c>
      <c r="S68" s="8" t="str">
        <f t="shared" si="3"/>
        <v>30500563059000400011922</v>
      </c>
      <c r="T68" s="14">
        <f>IFERROR(VLOOKUP(S68,AFIP!$F$2:$R$999999,12,FALSE),"NO")</f>
        <v>351.87</v>
      </c>
      <c r="U68" s="10" t="str">
        <f t="shared" si="4"/>
        <v>NO</v>
      </c>
      <c r="V68" s="10">
        <f>IFERROR(VLOOKUP(S68,AFIP!$F$2:$R$999999,13,FALSE),"NO")</f>
        <v>2027.42</v>
      </c>
      <c r="W68" s="1" t="str">
        <f t="shared" si="5"/>
        <v>NO</v>
      </c>
    </row>
    <row r="69" spans="1:23" hidden="1" x14ac:dyDescent="0.25">
      <c r="A69" s="1" t="s">
        <v>23</v>
      </c>
      <c r="B69" s="1" t="s">
        <v>24</v>
      </c>
      <c r="C69" s="1" t="s">
        <v>19</v>
      </c>
      <c r="D69" s="1">
        <v>30614967125</v>
      </c>
      <c r="E69" s="1" t="s">
        <v>20</v>
      </c>
      <c r="F69" s="1" t="s">
        <v>403</v>
      </c>
      <c r="G69" s="1" t="s">
        <v>21</v>
      </c>
      <c r="H69" s="1" t="s">
        <v>22</v>
      </c>
      <c r="I69" s="1" t="s">
        <v>406</v>
      </c>
      <c r="J69" s="2">
        <v>21</v>
      </c>
      <c r="K69" s="12">
        <v>-3559741.25</v>
      </c>
      <c r="L69" s="2">
        <v>-2941934.92</v>
      </c>
      <c r="M69" s="2">
        <v>0</v>
      </c>
      <c r="N69" s="12">
        <v>-617806.32999999996</v>
      </c>
      <c r="O69" s="2">
        <v>0</v>
      </c>
      <c r="P69" s="2">
        <v>0</v>
      </c>
      <c r="Q69" s="2">
        <v>0</v>
      </c>
      <c r="R69" s="2">
        <v>0</v>
      </c>
      <c r="S69" s="8" t="str">
        <f t="shared" si="3"/>
        <v>30614967125003100063859</v>
      </c>
      <c r="T69" s="14">
        <f>IFERROR(VLOOKUP(S69,AFIP!$F$2:$R$999999,12,FALSE),"NO")</f>
        <v>617806.32999999996</v>
      </c>
      <c r="U69" s="10" t="str">
        <f t="shared" si="4"/>
        <v>NO</v>
      </c>
      <c r="V69" s="10">
        <f>IFERROR(VLOOKUP(S69,AFIP!$F$2:$R$999999,13,FALSE),"NO")</f>
        <v>3559741.25</v>
      </c>
      <c r="W69" s="1" t="str">
        <f t="shared" si="5"/>
        <v>NO</v>
      </c>
    </row>
    <row r="70" spans="1:23" hidden="1" x14ac:dyDescent="0.25">
      <c r="A70" s="1" t="s">
        <v>407</v>
      </c>
      <c r="B70" s="1" t="s">
        <v>408</v>
      </c>
      <c r="C70" s="1" t="s">
        <v>19</v>
      </c>
      <c r="D70" s="1">
        <v>30503037226</v>
      </c>
      <c r="E70" s="1" t="s">
        <v>20</v>
      </c>
      <c r="F70" s="1" t="s">
        <v>403</v>
      </c>
      <c r="G70" s="1" t="s">
        <v>21</v>
      </c>
      <c r="H70" s="1" t="s">
        <v>22</v>
      </c>
      <c r="I70" s="1" t="s">
        <v>409</v>
      </c>
      <c r="J70" s="2">
        <v>21</v>
      </c>
      <c r="K70" s="12">
        <v>-105049.82</v>
      </c>
      <c r="L70" s="2">
        <v>-86818.03</v>
      </c>
      <c r="M70" s="2">
        <v>0</v>
      </c>
      <c r="N70" s="12">
        <v>-18231.79</v>
      </c>
      <c r="O70" s="2">
        <v>0</v>
      </c>
      <c r="P70" s="2">
        <v>0</v>
      </c>
      <c r="Q70" s="2">
        <v>0</v>
      </c>
      <c r="R70" s="2">
        <v>0</v>
      </c>
      <c r="S70" s="8" t="str">
        <f t="shared" si="3"/>
        <v>30503037226007400013709</v>
      </c>
      <c r="T70" s="14">
        <f>IFERROR(VLOOKUP(S70,AFIP!$F$2:$R$999999,12,FALSE),"NO")</f>
        <v>18231.79</v>
      </c>
      <c r="U70" s="10" t="str">
        <f t="shared" si="4"/>
        <v>NO</v>
      </c>
      <c r="V70" s="10">
        <f>IFERROR(VLOOKUP(S70,AFIP!$F$2:$R$999999,13,FALSE),"NO")</f>
        <v>105049.82</v>
      </c>
      <c r="W70" s="1" t="str">
        <f t="shared" si="5"/>
        <v>NO</v>
      </c>
    </row>
    <row r="71" spans="1:23" hidden="1" x14ac:dyDescent="0.25">
      <c r="A71" s="1" t="s">
        <v>31</v>
      </c>
      <c r="B71" s="1" t="s">
        <v>32</v>
      </c>
      <c r="C71" s="1" t="s">
        <v>19</v>
      </c>
      <c r="D71" s="1">
        <v>30500529071</v>
      </c>
      <c r="E71" s="1" t="s">
        <v>20</v>
      </c>
      <c r="F71" s="1" t="s">
        <v>403</v>
      </c>
      <c r="G71" s="1" t="s">
        <v>21</v>
      </c>
      <c r="H71" s="1" t="s">
        <v>22</v>
      </c>
      <c r="I71" s="1" t="s">
        <v>410</v>
      </c>
      <c r="J71" s="2">
        <v>21</v>
      </c>
      <c r="K71" s="12">
        <v>-5843.99</v>
      </c>
      <c r="L71" s="2">
        <v>-4712.8900000000003</v>
      </c>
      <c r="M71" s="2">
        <v>0</v>
      </c>
      <c r="N71" s="12">
        <v>-989.71</v>
      </c>
      <c r="O71" s="2">
        <v>-141.38999999999999</v>
      </c>
      <c r="P71" s="2">
        <v>0</v>
      </c>
      <c r="Q71" s="2">
        <v>0</v>
      </c>
      <c r="R71" s="2">
        <v>0</v>
      </c>
      <c r="S71" s="8" t="str">
        <f t="shared" si="3"/>
        <v>30500529071020100270378</v>
      </c>
      <c r="T71" s="14">
        <f>IFERROR(VLOOKUP(S71,AFIP!$F$2:$R$999999,12,FALSE),"NO")</f>
        <v>989.71</v>
      </c>
      <c r="U71" s="10" t="str">
        <f t="shared" si="4"/>
        <v>NO</v>
      </c>
      <c r="V71" s="10">
        <f>IFERROR(VLOOKUP(S71,AFIP!$F$2:$R$999999,13,FALSE),"NO")</f>
        <v>5843.99</v>
      </c>
      <c r="W71" s="1" t="str">
        <f t="shared" si="5"/>
        <v>NO</v>
      </c>
    </row>
    <row r="72" spans="1:23" hidden="1" x14ac:dyDescent="0.25">
      <c r="A72" s="1" t="s">
        <v>31</v>
      </c>
      <c r="B72" s="1" t="s">
        <v>32</v>
      </c>
      <c r="C72" s="1" t="s">
        <v>19</v>
      </c>
      <c r="D72" s="1">
        <v>30500529071</v>
      </c>
      <c r="E72" s="1" t="s">
        <v>20</v>
      </c>
      <c r="F72" s="1" t="s">
        <v>403</v>
      </c>
      <c r="G72" s="1" t="s">
        <v>21</v>
      </c>
      <c r="H72" s="1" t="s">
        <v>22</v>
      </c>
      <c r="I72" s="1" t="s">
        <v>411</v>
      </c>
      <c r="J72" s="2">
        <v>21</v>
      </c>
      <c r="K72" s="12">
        <v>-672797.64</v>
      </c>
      <c r="L72" s="2">
        <v>-542578.74</v>
      </c>
      <c r="M72" s="2">
        <v>0</v>
      </c>
      <c r="N72" s="12">
        <v>-113941.54</v>
      </c>
      <c r="O72" s="2">
        <v>-16277.36</v>
      </c>
      <c r="P72" s="2">
        <v>0</v>
      </c>
      <c r="Q72" s="2">
        <v>0</v>
      </c>
      <c r="R72" s="2">
        <v>0</v>
      </c>
      <c r="S72" s="8" t="str">
        <f t="shared" si="3"/>
        <v>30500529071020100270409</v>
      </c>
      <c r="T72" s="14">
        <f>IFERROR(VLOOKUP(S72,AFIP!$F$2:$R$999999,12,FALSE),"NO")</f>
        <v>113941.54</v>
      </c>
      <c r="U72" s="10" t="str">
        <f t="shared" si="4"/>
        <v>NO</v>
      </c>
      <c r="V72" s="10">
        <f>IFERROR(VLOOKUP(S72,AFIP!$F$2:$R$999999,13,FALSE),"NO")</f>
        <v>672797.64</v>
      </c>
      <c r="W72" s="1" t="str">
        <f t="shared" si="5"/>
        <v>NO</v>
      </c>
    </row>
    <row r="73" spans="1:23" hidden="1" x14ac:dyDescent="0.25">
      <c r="A73" s="1" t="s">
        <v>279</v>
      </c>
      <c r="B73" s="1" t="s">
        <v>280</v>
      </c>
      <c r="C73" s="1" t="s">
        <v>19</v>
      </c>
      <c r="D73" s="1">
        <v>33620532229</v>
      </c>
      <c r="E73" s="1" t="s">
        <v>20</v>
      </c>
      <c r="F73" s="1" t="s">
        <v>412</v>
      </c>
      <c r="G73" s="1" t="s">
        <v>21</v>
      </c>
      <c r="H73" s="1" t="s">
        <v>22</v>
      </c>
      <c r="I73" s="1" t="s">
        <v>413</v>
      </c>
      <c r="J73" s="2">
        <v>21</v>
      </c>
      <c r="K73" s="12">
        <v>-1385208.08</v>
      </c>
      <c r="L73" s="2">
        <v>-1144800.07</v>
      </c>
      <c r="M73" s="2">
        <v>0</v>
      </c>
      <c r="N73" s="12">
        <v>-240408.01</v>
      </c>
      <c r="O73" s="2">
        <v>0</v>
      </c>
      <c r="P73" s="2">
        <v>0</v>
      </c>
      <c r="Q73" s="2">
        <v>0</v>
      </c>
      <c r="R73" s="2">
        <v>0</v>
      </c>
      <c r="S73" s="8" t="str">
        <f t="shared" si="3"/>
        <v>33620532229000200008038</v>
      </c>
      <c r="T73" s="14">
        <f>IFERROR(VLOOKUP(S73,AFIP!$F$2:$R$999999,12,FALSE),"NO")</f>
        <v>240408.01</v>
      </c>
      <c r="U73" s="10" t="str">
        <f t="shared" si="4"/>
        <v>NO</v>
      </c>
      <c r="V73" s="10">
        <f>IFERROR(VLOOKUP(S73,AFIP!$F$2:$R$999999,13,FALSE),"NO")</f>
        <v>1385208.08</v>
      </c>
      <c r="W73" s="1" t="str">
        <f t="shared" si="5"/>
        <v>NO</v>
      </c>
    </row>
    <row r="74" spans="1:23" hidden="1" x14ac:dyDescent="0.25">
      <c r="A74" s="1" t="s">
        <v>31</v>
      </c>
      <c r="B74" s="1" t="s">
        <v>32</v>
      </c>
      <c r="C74" s="1" t="s">
        <v>19</v>
      </c>
      <c r="D74" s="1">
        <v>30500529071</v>
      </c>
      <c r="E74" s="1" t="s">
        <v>20</v>
      </c>
      <c r="F74" s="1" t="s">
        <v>414</v>
      </c>
      <c r="G74" s="1" t="s">
        <v>21</v>
      </c>
      <c r="H74" s="1" t="s">
        <v>22</v>
      </c>
      <c r="I74" s="1" t="s">
        <v>415</v>
      </c>
      <c r="J74" s="2">
        <v>21</v>
      </c>
      <c r="K74" s="12">
        <v>-6741610.3300000001</v>
      </c>
      <c r="L74" s="2">
        <v>-5436782.3099999996</v>
      </c>
      <c r="M74" s="2">
        <v>0</v>
      </c>
      <c r="N74" s="12">
        <v>-1141724.3999999999</v>
      </c>
      <c r="O74" s="2">
        <v>-163103.62</v>
      </c>
      <c r="P74" s="2">
        <v>0</v>
      </c>
      <c r="Q74" s="2">
        <v>0</v>
      </c>
      <c r="R74" s="2">
        <v>0</v>
      </c>
      <c r="S74" s="8" t="str">
        <f t="shared" si="3"/>
        <v>30500529071021500002495</v>
      </c>
      <c r="T74" s="14">
        <f>IFERROR(VLOOKUP(S74,AFIP!$F$2:$R$999999,12,FALSE),"NO")</f>
        <v>1141724.3999999999</v>
      </c>
      <c r="U74" s="10" t="str">
        <f t="shared" si="4"/>
        <v>NO</v>
      </c>
      <c r="V74" s="10">
        <f>IFERROR(VLOOKUP(S74,AFIP!$F$2:$R$999999,13,FALSE),"NO")</f>
        <v>6741610.3399999999</v>
      </c>
      <c r="W74" s="1" t="str">
        <f t="shared" si="5"/>
        <v>NO</v>
      </c>
    </row>
    <row r="75" spans="1:23" hidden="1" x14ac:dyDescent="0.25">
      <c r="A75" s="1" t="s">
        <v>31</v>
      </c>
      <c r="B75" s="1" t="s">
        <v>32</v>
      </c>
      <c r="C75" s="1" t="s">
        <v>19</v>
      </c>
      <c r="D75" s="1">
        <v>30500529071</v>
      </c>
      <c r="E75" s="1" t="s">
        <v>20</v>
      </c>
      <c r="F75" s="1" t="s">
        <v>414</v>
      </c>
      <c r="G75" s="1" t="s">
        <v>21</v>
      </c>
      <c r="H75" s="1" t="s">
        <v>22</v>
      </c>
      <c r="I75" s="1" t="s">
        <v>416</v>
      </c>
      <c r="J75" s="2">
        <v>21</v>
      </c>
      <c r="K75" s="12">
        <v>-2637248.4900000002</v>
      </c>
      <c r="L75" s="2">
        <v>-1317307.97</v>
      </c>
      <c r="M75" s="2">
        <v>0</v>
      </c>
      <c r="N75" s="12">
        <v>-276634.67</v>
      </c>
      <c r="O75" s="2">
        <v>-39519.24</v>
      </c>
      <c r="P75" s="2">
        <v>0</v>
      </c>
      <c r="Q75" s="2">
        <v>-1003786.61</v>
      </c>
      <c r="R75" s="2">
        <v>0</v>
      </c>
      <c r="S75" s="8" t="str">
        <f t="shared" si="3"/>
        <v>30500529071021500002496</v>
      </c>
      <c r="T75" s="14">
        <f>IFERROR(VLOOKUP(S75,AFIP!$F$2:$R$999999,12,FALSE),"NO")</f>
        <v>276634.67</v>
      </c>
      <c r="U75" s="10" t="str">
        <f t="shared" si="4"/>
        <v>NO</v>
      </c>
      <c r="V75" s="10">
        <f>IFERROR(VLOOKUP(S75,AFIP!$F$2:$R$999999,13,FALSE),"NO")</f>
        <v>1633461.88</v>
      </c>
      <c r="W75" s="1" t="str">
        <f t="shared" si="5"/>
        <v>NO</v>
      </c>
    </row>
    <row r="76" spans="1:23" hidden="1" x14ac:dyDescent="0.25">
      <c r="A76" s="1" t="s">
        <v>31</v>
      </c>
      <c r="B76" s="1" t="s">
        <v>32</v>
      </c>
      <c r="C76" s="1" t="s">
        <v>19</v>
      </c>
      <c r="D76" s="1">
        <v>30500529071</v>
      </c>
      <c r="E76" s="1" t="s">
        <v>20</v>
      </c>
      <c r="F76" s="1" t="s">
        <v>417</v>
      </c>
      <c r="G76" s="1" t="s">
        <v>21</v>
      </c>
      <c r="H76" s="1" t="s">
        <v>22</v>
      </c>
      <c r="I76" s="1" t="s">
        <v>418</v>
      </c>
      <c r="J76" s="2">
        <v>21</v>
      </c>
      <c r="K76" s="12">
        <v>-114719.14</v>
      </c>
      <c r="L76" s="2">
        <v>-53332.47</v>
      </c>
      <c r="M76" s="2">
        <v>0</v>
      </c>
      <c r="N76" s="12">
        <v>-11199.82</v>
      </c>
      <c r="O76" s="2">
        <v>-1599.97</v>
      </c>
      <c r="P76" s="2">
        <v>0</v>
      </c>
      <c r="Q76" s="2">
        <v>-48586.879999999997</v>
      </c>
      <c r="R76" s="2">
        <v>0</v>
      </c>
      <c r="S76" s="8" t="str">
        <f t="shared" si="3"/>
        <v>30500529071021500002498</v>
      </c>
      <c r="T76" s="14">
        <f>IFERROR(VLOOKUP(S76,AFIP!$F$2:$R$999999,12,FALSE),"NO")</f>
        <v>11199.82</v>
      </c>
      <c r="U76" s="10" t="str">
        <f t="shared" si="4"/>
        <v>NO</v>
      </c>
      <c r="V76" s="10">
        <f>IFERROR(VLOOKUP(S76,AFIP!$F$2:$R$999999,13,FALSE),"NO")</f>
        <v>66132.259999999995</v>
      </c>
      <c r="W76" s="1" t="str">
        <f t="shared" si="5"/>
        <v>NO</v>
      </c>
    </row>
    <row r="77" spans="1:23" hidden="1" x14ac:dyDescent="0.25">
      <c r="A77" s="1" t="s">
        <v>33</v>
      </c>
      <c r="B77" s="1" t="s">
        <v>34</v>
      </c>
      <c r="C77" s="1" t="s">
        <v>19</v>
      </c>
      <c r="D77" s="1">
        <v>33708336969</v>
      </c>
      <c r="E77" s="1" t="s">
        <v>20</v>
      </c>
      <c r="F77" s="1" t="s">
        <v>381</v>
      </c>
      <c r="G77" s="1" t="s">
        <v>51</v>
      </c>
      <c r="H77" s="1" t="s">
        <v>52</v>
      </c>
      <c r="I77" s="1" t="s">
        <v>419</v>
      </c>
      <c r="J77" s="2">
        <v>21</v>
      </c>
      <c r="K77" s="12">
        <v>22385</v>
      </c>
      <c r="L77" s="2">
        <v>18500</v>
      </c>
      <c r="M77" s="2">
        <v>0</v>
      </c>
      <c r="N77" s="12">
        <v>3885</v>
      </c>
      <c r="O77" s="2">
        <v>0</v>
      </c>
      <c r="P77" s="2">
        <v>0</v>
      </c>
      <c r="Q77" s="2">
        <v>0</v>
      </c>
      <c r="R77" s="2">
        <v>0</v>
      </c>
      <c r="S77" s="8" t="str">
        <f t="shared" si="3"/>
        <v>33708336969002700000185</v>
      </c>
      <c r="T77" s="14">
        <f>IFERROR(VLOOKUP(S77,AFIP!$F$2:$R$999999,12,FALSE),"NO")</f>
        <v>3885</v>
      </c>
      <c r="U77" s="10" t="str">
        <f t="shared" si="4"/>
        <v>SI</v>
      </c>
      <c r="V77" s="10">
        <f>IFERROR(VLOOKUP(S77,AFIP!$F$2:$R$999999,13,FALSE),"NO")</f>
        <v>22385</v>
      </c>
      <c r="W77" s="1" t="str">
        <f t="shared" si="5"/>
        <v>SI</v>
      </c>
    </row>
    <row r="78" spans="1:23" hidden="1" x14ac:dyDescent="0.25">
      <c r="A78" s="1" t="s">
        <v>293</v>
      </c>
      <c r="B78" s="1" t="s">
        <v>294</v>
      </c>
      <c r="C78" s="1" t="s">
        <v>19</v>
      </c>
      <c r="D78" s="1">
        <v>30717292355</v>
      </c>
      <c r="E78" s="1" t="s">
        <v>20</v>
      </c>
      <c r="F78" s="1" t="s">
        <v>420</v>
      </c>
      <c r="G78" s="1" t="s">
        <v>53</v>
      </c>
      <c r="H78" s="1" t="s">
        <v>54</v>
      </c>
      <c r="I78" s="1" t="s">
        <v>421</v>
      </c>
      <c r="J78" s="2">
        <v>21</v>
      </c>
      <c r="K78" s="12">
        <v>29800</v>
      </c>
      <c r="L78" s="2">
        <v>24628.1</v>
      </c>
      <c r="M78" s="2">
        <v>0</v>
      </c>
      <c r="N78" s="12">
        <v>5171.8999999999996</v>
      </c>
      <c r="O78" s="2">
        <v>0</v>
      </c>
      <c r="P78" s="2">
        <v>0</v>
      </c>
      <c r="Q78" s="2">
        <v>0</v>
      </c>
      <c r="R78" s="2">
        <v>0</v>
      </c>
      <c r="S78" s="8" t="str">
        <f t="shared" si="3"/>
        <v>30717292355000300001146</v>
      </c>
      <c r="T78" s="14">
        <f>IFERROR(VLOOKUP(S78,AFIP!$F$2:$R$999999,12,FALSE),"NO")</f>
        <v>5171.8999999999996</v>
      </c>
      <c r="U78" s="10" t="str">
        <f t="shared" si="4"/>
        <v>SI</v>
      </c>
      <c r="V78" s="10">
        <f>IFERROR(VLOOKUP(S78,AFIP!$F$2:$R$999999,13,FALSE),"NO")</f>
        <v>29800</v>
      </c>
      <c r="W78" s="1" t="str">
        <f t="shared" si="5"/>
        <v>SI</v>
      </c>
    </row>
    <row r="79" spans="1:23" x14ac:dyDescent="0.25">
      <c r="A79" s="1" t="s">
        <v>1031</v>
      </c>
      <c r="B79" s="1" t="s">
        <v>1032</v>
      </c>
      <c r="C79" s="1" t="s">
        <v>19</v>
      </c>
      <c r="D79" s="1">
        <v>20183925599</v>
      </c>
      <c r="E79" s="1" t="s">
        <v>20</v>
      </c>
      <c r="F79" s="1" t="s">
        <v>245</v>
      </c>
      <c r="G79" s="1" t="s">
        <v>53</v>
      </c>
      <c r="H79" s="1" t="s">
        <v>54</v>
      </c>
      <c r="I79" s="1" t="s">
        <v>1033</v>
      </c>
      <c r="J79" s="2">
        <v>21</v>
      </c>
      <c r="K79" s="12">
        <v>44800.25</v>
      </c>
      <c r="L79" s="2">
        <v>37025</v>
      </c>
      <c r="M79" s="2">
        <v>0</v>
      </c>
      <c r="N79" s="12">
        <v>7775.25</v>
      </c>
      <c r="O79" s="2">
        <v>0</v>
      </c>
      <c r="P79" s="2">
        <v>0</v>
      </c>
      <c r="Q79" s="2">
        <v>0</v>
      </c>
      <c r="R79" s="2">
        <v>0</v>
      </c>
      <c r="S79" s="8" t="str">
        <f t="shared" si="3"/>
        <v>20183925599000100000614</v>
      </c>
      <c r="T79" s="14" t="str">
        <f>IFERROR(VLOOKUP(S79,AFIP!$F$2:$R$999999,12,FALSE),"NO")</f>
        <v>NO</v>
      </c>
      <c r="U79" s="10" t="str">
        <f t="shared" si="4"/>
        <v>NO</v>
      </c>
      <c r="V79" s="10" t="str">
        <f>IFERROR(VLOOKUP(S79,AFIP!$F$2:$R$999999,13,FALSE),"NO")</f>
        <v>NO</v>
      </c>
      <c r="W79" s="1" t="str">
        <f t="shared" si="5"/>
        <v>NO</v>
      </c>
    </row>
    <row r="80" spans="1:23" x14ac:dyDescent="0.25">
      <c r="A80" s="1" t="s">
        <v>1034</v>
      </c>
      <c r="B80" s="1" t="s">
        <v>250</v>
      </c>
      <c r="C80" s="1" t="s">
        <v>19</v>
      </c>
      <c r="D80" s="1">
        <v>20177699889</v>
      </c>
      <c r="E80" s="1" t="s">
        <v>20</v>
      </c>
      <c r="F80" s="1" t="s">
        <v>245</v>
      </c>
      <c r="G80" s="1" t="s">
        <v>53</v>
      </c>
      <c r="H80" s="1" t="s">
        <v>54</v>
      </c>
      <c r="I80" s="1" t="s">
        <v>1035</v>
      </c>
      <c r="J80" s="2">
        <v>21</v>
      </c>
      <c r="K80" s="12">
        <v>44000</v>
      </c>
      <c r="L80" s="2">
        <v>36363.64</v>
      </c>
      <c r="M80" s="2">
        <v>0</v>
      </c>
      <c r="N80" s="12">
        <v>7636.36</v>
      </c>
      <c r="O80" s="2">
        <v>0</v>
      </c>
      <c r="P80" s="2">
        <v>0</v>
      </c>
      <c r="Q80" s="2">
        <v>0</v>
      </c>
      <c r="R80" s="2">
        <v>0</v>
      </c>
      <c r="S80" s="8" t="str">
        <f t="shared" si="3"/>
        <v>20177699889000500000496</v>
      </c>
      <c r="T80" s="14" t="str">
        <f>IFERROR(VLOOKUP(S80,AFIP!$F$2:$R$999999,12,FALSE),"NO")</f>
        <v>NO</v>
      </c>
      <c r="U80" s="10" t="str">
        <f t="shared" si="4"/>
        <v>NO</v>
      </c>
      <c r="V80" s="10" t="str">
        <f>IFERROR(VLOOKUP(S80,AFIP!$F$2:$R$999999,13,FALSE),"NO")</f>
        <v>NO</v>
      </c>
      <c r="W80" s="1" t="str">
        <f t="shared" si="5"/>
        <v>NO</v>
      </c>
    </row>
    <row r="81" spans="1:23" x14ac:dyDescent="0.25">
      <c r="A81" s="1" t="s">
        <v>422</v>
      </c>
      <c r="B81" s="1" t="s">
        <v>423</v>
      </c>
      <c r="C81" s="1" t="s">
        <v>19</v>
      </c>
      <c r="D81" s="1">
        <v>30707475222</v>
      </c>
      <c r="E81" s="1" t="s">
        <v>20</v>
      </c>
      <c r="F81" s="1" t="s">
        <v>245</v>
      </c>
      <c r="G81" s="1" t="s">
        <v>53</v>
      </c>
      <c r="H81" s="1" t="s">
        <v>54</v>
      </c>
      <c r="I81" s="1" t="s">
        <v>424</v>
      </c>
      <c r="J81" s="2">
        <v>21</v>
      </c>
      <c r="K81" s="12">
        <v>50013.99</v>
      </c>
      <c r="L81" s="2">
        <v>41333.879999999997</v>
      </c>
      <c r="M81" s="2">
        <v>0</v>
      </c>
      <c r="N81" s="12">
        <v>8680.11</v>
      </c>
      <c r="O81" s="2">
        <v>0</v>
      </c>
      <c r="P81" s="2">
        <v>0</v>
      </c>
      <c r="Q81" s="2">
        <v>0</v>
      </c>
      <c r="R81" s="2">
        <v>0</v>
      </c>
      <c r="S81" s="8" t="str">
        <f t="shared" si="3"/>
        <v>30707475222001200034170</v>
      </c>
      <c r="T81" s="14" t="str">
        <f>IFERROR(VLOOKUP(S81,AFIP!$F$2:$R$999999,12,FALSE),"NO")</f>
        <v>NO</v>
      </c>
      <c r="U81" s="10" t="str">
        <f t="shared" si="4"/>
        <v>NO</v>
      </c>
      <c r="V81" s="10" t="str">
        <f>IFERROR(VLOOKUP(S81,AFIP!$F$2:$R$999999,13,FALSE),"NO")</f>
        <v>NO</v>
      </c>
      <c r="W81" s="1" t="str">
        <f t="shared" si="5"/>
        <v>NO</v>
      </c>
    </row>
    <row r="82" spans="1:23" x14ac:dyDescent="0.25">
      <c r="A82" s="1" t="s">
        <v>422</v>
      </c>
      <c r="B82" s="1" t="s">
        <v>423</v>
      </c>
      <c r="C82" s="1" t="s">
        <v>19</v>
      </c>
      <c r="D82" s="1">
        <v>30707475222</v>
      </c>
      <c r="E82" s="1" t="s">
        <v>20</v>
      </c>
      <c r="F82" s="1" t="s">
        <v>245</v>
      </c>
      <c r="G82" s="1" t="s">
        <v>53</v>
      </c>
      <c r="H82" s="1" t="s">
        <v>54</v>
      </c>
      <c r="I82" s="1" t="s">
        <v>424</v>
      </c>
      <c r="J82" s="2">
        <v>0</v>
      </c>
      <c r="K82" s="12">
        <v>10993</v>
      </c>
      <c r="L82" s="2">
        <v>0</v>
      </c>
      <c r="M82" s="2">
        <v>10993</v>
      </c>
      <c r="N82" s="12">
        <v>0</v>
      </c>
      <c r="O82" s="2">
        <v>0</v>
      </c>
      <c r="P82" s="2">
        <v>0</v>
      </c>
      <c r="Q82" s="2">
        <v>0</v>
      </c>
      <c r="R82" s="2">
        <v>0</v>
      </c>
      <c r="S82" s="8" t="str">
        <f t="shared" si="3"/>
        <v>30707475222001200034170</v>
      </c>
      <c r="T82" s="14" t="str">
        <f>IFERROR(VLOOKUP(S82,AFIP!$F$2:$R$999999,12,FALSE),"NO")</f>
        <v>NO</v>
      </c>
      <c r="U82" s="10" t="str">
        <f t="shared" si="4"/>
        <v>NO</v>
      </c>
      <c r="V82" s="10" t="str">
        <f>IFERROR(VLOOKUP(S82,AFIP!$F$2:$R$999999,13,FALSE),"NO")</f>
        <v>NO</v>
      </c>
      <c r="W82" s="1" t="str">
        <f t="shared" si="5"/>
        <v>NO</v>
      </c>
    </row>
    <row r="83" spans="1:23" x14ac:dyDescent="0.25">
      <c r="A83" s="1" t="s">
        <v>1036</v>
      </c>
      <c r="B83" s="1" t="s">
        <v>323</v>
      </c>
      <c r="C83" s="1" t="s">
        <v>19</v>
      </c>
      <c r="D83" s="1">
        <v>30698548289</v>
      </c>
      <c r="E83" s="1" t="s">
        <v>20</v>
      </c>
      <c r="F83" s="1" t="s">
        <v>245</v>
      </c>
      <c r="G83" s="1" t="s">
        <v>53</v>
      </c>
      <c r="H83" s="1" t="s">
        <v>54</v>
      </c>
      <c r="I83" s="1" t="s">
        <v>1037</v>
      </c>
      <c r="J83" s="2">
        <v>21</v>
      </c>
      <c r="K83" s="12">
        <v>87924.37</v>
      </c>
      <c r="L83" s="2">
        <v>72664.77</v>
      </c>
      <c r="M83" s="2">
        <v>0</v>
      </c>
      <c r="N83" s="12">
        <v>15259.6</v>
      </c>
      <c r="O83" s="2">
        <v>0</v>
      </c>
      <c r="P83" s="2">
        <v>0</v>
      </c>
      <c r="Q83" s="2">
        <v>0</v>
      </c>
      <c r="R83" s="2">
        <v>0</v>
      </c>
      <c r="S83" s="8" t="str">
        <f t="shared" si="3"/>
        <v>30698548289011300016279</v>
      </c>
      <c r="T83" s="14" t="str">
        <f>IFERROR(VLOOKUP(S83,AFIP!$F$2:$R$999999,12,FALSE),"NO")</f>
        <v>NO</v>
      </c>
      <c r="U83" s="10" t="str">
        <f t="shared" si="4"/>
        <v>NO</v>
      </c>
      <c r="V83" s="10" t="str">
        <f>IFERROR(VLOOKUP(S83,AFIP!$F$2:$R$999999,13,FALSE),"NO")</f>
        <v>NO</v>
      </c>
      <c r="W83" s="1" t="str">
        <f t="shared" si="5"/>
        <v>NO</v>
      </c>
    </row>
    <row r="84" spans="1:23" x14ac:dyDescent="0.25">
      <c r="A84" s="1" t="s">
        <v>1036</v>
      </c>
      <c r="B84" s="1" t="s">
        <v>323</v>
      </c>
      <c r="C84" s="1" t="s">
        <v>19</v>
      </c>
      <c r="D84" s="1">
        <v>30698548289</v>
      </c>
      <c r="E84" s="1" t="s">
        <v>20</v>
      </c>
      <c r="F84" s="1" t="s">
        <v>245</v>
      </c>
      <c r="G84" s="1" t="s">
        <v>53</v>
      </c>
      <c r="H84" s="1" t="s">
        <v>54</v>
      </c>
      <c r="I84" s="1" t="s">
        <v>1037</v>
      </c>
      <c r="J84" s="2">
        <v>0</v>
      </c>
      <c r="K84" s="12">
        <v>12076.05</v>
      </c>
      <c r="L84" s="2">
        <v>0</v>
      </c>
      <c r="M84" s="2">
        <v>12076.05</v>
      </c>
      <c r="N84" s="12">
        <v>0</v>
      </c>
      <c r="O84" s="2">
        <v>0</v>
      </c>
      <c r="P84" s="2">
        <v>0</v>
      </c>
      <c r="Q84" s="2">
        <v>0</v>
      </c>
      <c r="R84" s="2">
        <v>0</v>
      </c>
      <c r="S84" s="8" t="str">
        <f t="shared" si="3"/>
        <v>30698548289011300016279</v>
      </c>
      <c r="T84" s="14" t="str">
        <f>IFERROR(VLOOKUP(S84,AFIP!$F$2:$R$999999,12,FALSE),"NO")</f>
        <v>NO</v>
      </c>
      <c r="U84" s="10" t="str">
        <f t="shared" si="4"/>
        <v>NO</v>
      </c>
      <c r="V84" s="10" t="str">
        <f>IFERROR(VLOOKUP(S84,AFIP!$F$2:$R$999999,13,FALSE),"NO")</f>
        <v>NO</v>
      </c>
      <c r="W84" s="1" t="str">
        <f t="shared" si="5"/>
        <v>NO</v>
      </c>
    </row>
    <row r="85" spans="1:23" x14ac:dyDescent="0.25">
      <c r="A85" s="1" t="s">
        <v>263</v>
      </c>
      <c r="B85" s="1" t="s">
        <v>264</v>
      </c>
      <c r="C85" s="1" t="s">
        <v>19</v>
      </c>
      <c r="D85" s="1">
        <v>30521137963</v>
      </c>
      <c r="E85" s="1" t="s">
        <v>20</v>
      </c>
      <c r="F85" s="1" t="s">
        <v>245</v>
      </c>
      <c r="G85" s="1" t="s">
        <v>53</v>
      </c>
      <c r="H85" s="1" t="s">
        <v>54</v>
      </c>
      <c r="I85" s="1" t="s">
        <v>1038</v>
      </c>
      <c r="J85" s="2">
        <v>21</v>
      </c>
      <c r="K85" s="12">
        <v>71065.899999999994</v>
      </c>
      <c r="L85" s="2">
        <v>58732.15</v>
      </c>
      <c r="M85" s="2">
        <v>0</v>
      </c>
      <c r="N85" s="12">
        <v>12333.75</v>
      </c>
      <c r="O85" s="2">
        <v>0</v>
      </c>
      <c r="P85" s="2">
        <v>0</v>
      </c>
      <c r="Q85" s="2">
        <v>0</v>
      </c>
      <c r="R85" s="2">
        <v>0</v>
      </c>
      <c r="S85" s="8" t="str">
        <f t="shared" si="3"/>
        <v>30521137963011900006427</v>
      </c>
      <c r="T85" s="14" t="str">
        <f>IFERROR(VLOOKUP(S85,AFIP!$F$2:$R$999999,12,FALSE),"NO")</f>
        <v>NO</v>
      </c>
      <c r="U85" s="10" t="str">
        <f t="shared" si="4"/>
        <v>NO</v>
      </c>
      <c r="V85" s="10" t="str">
        <f>IFERROR(VLOOKUP(S85,AFIP!$F$2:$R$999999,13,FALSE),"NO")</f>
        <v>NO</v>
      </c>
      <c r="W85" s="1" t="str">
        <f t="shared" si="5"/>
        <v>NO</v>
      </c>
    </row>
    <row r="86" spans="1:23" x14ac:dyDescent="0.25">
      <c r="A86" s="1" t="s">
        <v>263</v>
      </c>
      <c r="B86" s="1" t="s">
        <v>264</v>
      </c>
      <c r="C86" s="1" t="s">
        <v>19</v>
      </c>
      <c r="D86" s="1">
        <v>30521137963</v>
      </c>
      <c r="E86" s="1" t="s">
        <v>20</v>
      </c>
      <c r="F86" s="1" t="s">
        <v>245</v>
      </c>
      <c r="G86" s="1" t="s">
        <v>53</v>
      </c>
      <c r="H86" s="1" t="s">
        <v>54</v>
      </c>
      <c r="I86" s="1" t="s">
        <v>1038</v>
      </c>
      <c r="J86" s="2">
        <v>0</v>
      </c>
      <c r="K86" s="12">
        <v>8934.1</v>
      </c>
      <c r="L86" s="2">
        <v>0</v>
      </c>
      <c r="M86" s="2">
        <v>8934.1</v>
      </c>
      <c r="N86" s="12">
        <v>0</v>
      </c>
      <c r="O86" s="2">
        <v>0</v>
      </c>
      <c r="P86" s="2">
        <v>0</v>
      </c>
      <c r="Q86" s="2">
        <v>0</v>
      </c>
      <c r="R86" s="2">
        <v>0</v>
      </c>
      <c r="S86" s="8" t="str">
        <f t="shared" si="3"/>
        <v>30521137963011900006427</v>
      </c>
      <c r="T86" s="14" t="str">
        <f>IFERROR(VLOOKUP(S86,AFIP!$F$2:$R$999999,12,FALSE),"NO")</f>
        <v>NO</v>
      </c>
      <c r="U86" s="10" t="str">
        <f t="shared" si="4"/>
        <v>NO</v>
      </c>
      <c r="V86" s="10" t="str">
        <f>IFERROR(VLOOKUP(S86,AFIP!$F$2:$R$999999,13,FALSE),"NO")</f>
        <v>NO</v>
      </c>
      <c r="W86" s="1" t="str">
        <f t="shared" si="5"/>
        <v>NO</v>
      </c>
    </row>
    <row r="87" spans="1:23" x14ac:dyDescent="0.25">
      <c r="A87" s="1" t="s">
        <v>263</v>
      </c>
      <c r="B87" s="1" t="s">
        <v>264</v>
      </c>
      <c r="C87" s="1" t="s">
        <v>19</v>
      </c>
      <c r="D87" s="1">
        <v>30521137963</v>
      </c>
      <c r="E87" s="1" t="s">
        <v>20</v>
      </c>
      <c r="F87" s="1" t="s">
        <v>245</v>
      </c>
      <c r="G87" s="1" t="s">
        <v>53</v>
      </c>
      <c r="H87" s="1" t="s">
        <v>54</v>
      </c>
      <c r="I87" s="1" t="s">
        <v>425</v>
      </c>
      <c r="J87" s="2">
        <v>21</v>
      </c>
      <c r="K87" s="12">
        <v>16900</v>
      </c>
      <c r="L87" s="2">
        <v>13966.94</v>
      </c>
      <c r="M87" s="2">
        <v>0</v>
      </c>
      <c r="N87" s="12">
        <v>2933.06</v>
      </c>
      <c r="O87" s="2">
        <v>0</v>
      </c>
      <c r="P87" s="2">
        <v>0</v>
      </c>
      <c r="Q87" s="2">
        <v>0</v>
      </c>
      <c r="R87" s="2">
        <v>0</v>
      </c>
      <c r="S87" s="8" t="str">
        <f t="shared" si="3"/>
        <v>30521137963012100007530</v>
      </c>
      <c r="T87" s="14" t="str">
        <f>IFERROR(VLOOKUP(S87,AFIP!$F$2:$R$999999,12,FALSE),"NO")</f>
        <v>NO</v>
      </c>
      <c r="U87" s="10" t="str">
        <f t="shared" si="4"/>
        <v>NO</v>
      </c>
      <c r="V87" s="10" t="str">
        <f>IFERROR(VLOOKUP(S87,AFIP!$F$2:$R$999999,13,FALSE),"NO")</f>
        <v>NO</v>
      </c>
      <c r="W87" s="1" t="str">
        <f t="shared" si="5"/>
        <v>NO</v>
      </c>
    </row>
    <row r="88" spans="1:23" x14ac:dyDescent="0.25">
      <c r="A88" s="1" t="s">
        <v>1039</v>
      </c>
      <c r="B88" s="1" t="s">
        <v>1040</v>
      </c>
      <c r="C88" s="1" t="s">
        <v>19</v>
      </c>
      <c r="D88" s="1">
        <v>30708442166</v>
      </c>
      <c r="E88" s="1" t="s">
        <v>20</v>
      </c>
      <c r="F88" s="1" t="s">
        <v>246</v>
      </c>
      <c r="G88" s="1" t="s">
        <v>53</v>
      </c>
      <c r="H88" s="1" t="s">
        <v>54</v>
      </c>
      <c r="I88" s="1" t="s">
        <v>1041</v>
      </c>
      <c r="J88" s="2">
        <v>21</v>
      </c>
      <c r="K88" s="12">
        <v>25545.01</v>
      </c>
      <c r="L88" s="2">
        <v>21111.58</v>
      </c>
      <c r="M88" s="2">
        <v>0</v>
      </c>
      <c r="N88" s="12">
        <v>4433.43</v>
      </c>
      <c r="O88" s="2">
        <v>0</v>
      </c>
      <c r="P88" s="2">
        <v>0</v>
      </c>
      <c r="Q88" s="2">
        <v>0</v>
      </c>
      <c r="R88" s="2">
        <v>0</v>
      </c>
      <c r="S88" s="8" t="str">
        <f t="shared" si="3"/>
        <v>30708442166001100070853</v>
      </c>
      <c r="T88" s="14" t="str">
        <f>IFERROR(VLOOKUP(S88,AFIP!$F$2:$R$999999,12,FALSE),"NO")</f>
        <v>NO</v>
      </c>
      <c r="U88" s="10" t="str">
        <f t="shared" si="4"/>
        <v>NO</v>
      </c>
      <c r="V88" s="10" t="str">
        <f>IFERROR(VLOOKUP(S88,AFIP!$F$2:$R$999999,13,FALSE),"NO")</f>
        <v>NO</v>
      </c>
      <c r="W88" s="1" t="str">
        <f t="shared" si="5"/>
        <v>NO</v>
      </c>
    </row>
    <row r="89" spans="1:23" x14ac:dyDescent="0.25">
      <c r="A89" s="1" t="s">
        <v>1039</v>
      </c>
      <c r="B89" s="1" t="s">
        <v>1040</v>
      </c>
      <c r="C89" s="1" t="s">
        <v>19</v>
      </c>
      <c r="D89" s="1">
        <v>30708442166</v>
      </c>
      <c r="E89" s="1" t="s">
        <v>20</v>
      </c>
      <c r="F89" s="1" t="s">
        <v>246</v>
      </c>
      <c r="G89" s="1" t="s">
        <v>53</v>
      </c>
      <c r="H89" s="1" t="s">
        <v>54</v>
      </c>
      <c r="I89" s="1" t="s">
        <v>1041</v>
      </c>
      <c r="J89" s="2">
        <v>0</v>
      </c>
      <c r="K89" s="12">
        <v>4454.9799999999996</v>
      </c>
      <c r="L89" s="2">
        <v>0</v>
      </c>
      <c r="M89" s="2">
        <v>4454.9799999999996</v>
      </c>
      <c r="N89" s="12">
        <v>0</v>
      </c>
      <c r="O89" s="2">
        <v>0</v>
      </c>
      <c r="P89" s="2">
        <v>0</v>
      </c>
      <c r="Q89" s="2">
        <v>0</v>
      </c>
      <c r="R89" s="2">
        <v>0</v>
      </c>
      <c r="S89" s="8" t="str">
        <f t="shared" si="3"/>
        <v>30708442166001100070853</v>
      </c>
      <c r="T89" s="14" t="str">
        <f>IFERROR(VLOOKUP(S89,AFIP!$F$2:$R$999999,12,FALSE),"NO")</f>
        <v>NO</v>
      </c>
      <c r="U89" s="10" t="str">
        <f t="shared" si="4"/>
        <v>NO</v>
      </c>
      <c r="V89" s="10" t="str">
        <f>IFERROR(VLOOKUP(S89,AFIP!$F$2:$R$999999,13,FALSE),"NO")</f>
        <v>NO</v>
      </c>
      <c r="W89" s="1" t="str">
        <f t="shared" si="5"/>
        <v>NO</v>
      </c>
    </row>
    <row r="90" spans="1:23" x14ac:dyDescent="0.25">
      <c r="A90" s="1" t="s">
        <v>1042</v>
      </c>
      <c r="B90" s="1" t="s">
        <v>1043</v>
      </c>
      <c r="C90" s="1" t="s">
        <v>19</v>
      </c>
      <c r="D90" s="1">
        <v>30707394028</v>
      </c>
      <c r="E90" s="1" t="s">
        <v>20</v>
      </c>
      <c r="F90" s="1" t="s">
        <v>246</v>
      </c>
      <c r="G90" s="1" t="s">
        <v>53</v>
      </c>
      <c r="H90" s="1" t="s">
        <v>54</v>
      </c>
      <c r="I90" s="1" t="s">
        <v>1044</v>
      </c>
      <c r="J90" s="2">
        <v>21</v>
      </c>
      <c r="K90" s="12">
        <v>73899.460000000006</v>
      </c>
      <c r="L90" s="2">
        <v>61073.93</v>
      </c>
      <c r="M90" s="2">
        <v>0</v>
      </c>
      <c r="N90" s="12">
        <v>12825.53</v>
      </c>
      <c r="O90" s="2">
        <v>0</v>
      </c>
      <c r="P90" s="2">
        <v>0</v>
      </c>
      <c r="Q90" s="2">
        <v>0</v>
      </c>
      <c r="R90" s="2">
        <v>0</v>
      </c>
      <c r="S90" s="8" t="str">
        <f t="shared" si="3"/>
        <v>30707394028006300038018</v>
      </c>
      <c r="T90" s="14" t="str">
        <f>IFERROR(VLOOKUP(S90,AFIP!$F$2:$R$999999,12,FALSE),"NO")</f>
        <v>NO</v>
      </c>
      <c r="U90" s="10" t="str">
        <f t="shared" si="4"/>
        <v>NO</v>
      </c>
      <c r="V90" s="10" t="str">
        <f>IFERROR(VLOOKUP(S90,AFIP!$F$2:$R$999999,13,FALSE),"NO")</f>
        <v>NO</v>
      </c>
      <c r="W90" s="1" t="str">
        <f t="shared" si="5"/>
        <v>NO</v>
      </c>
    </row>
    <row r="91" spans="1:23" x14ac:dyDescent="0.25">
      <c r="A91" s="1" t="s">
        <v>1042</v>
      </c>
      <c r="B91" s="1" t="s">
        <v>1043</v>
      </c>
      <c r="C91" s="1" t="s">
        <v>19</v>
      </c>
      <c r="D91" s="1">
        <v>30707394028</v>
      </c>
      <c r="E91" s="1" t="s">
        <v>20</v>
      </c>
      <c r="F91" s="1" t="s">
        <v>246</v>
      </c>
      <c r="G91" s="1" t="s">
        <v>53</v>
      </c>
      <c r="H91" s="1" t="s">
        <v>54</v>
      </c>
      <c r="I91" s="1" t="s">
        <v>1044</v>
      </c>
      <c r="J91" s="2">
        <v>0</v>
      </c>
      <c r="K91" s="12">
        <v>13099.68</v>
      </c>
      <c r="L91" s="2">
        <v>0</v>
      </c>
      <c r="M91" s="2">
        <v>13099.68</v>
      </c>
      <c r="N91" s="12">
        <v>0</v>
      </c>
      <c r="O91" s="2">
        <v>0</v>
      </c>
      <c r="P91" s="2">
        <v>0</v>
      </c>
      <c r="Q91" s="2">
        <v>0</v>
      </c>
      <c r="R91" s="2">
        <v>0</v>
      </c>
      <c r="S91" s="8" t="str">
        <f t="shared" si="3"/>
        <v>30707394028006300038018</v>
      </c>
      <c r="T91" s="14" t="str">
        <f>IFERROR(VLOOKUP(S91,AFIP!$F$2:$R$999999,12,FALSE),"NO")</f>
        <v>NO</v>
      </c>
      <c r="U91" s="10" t="str">
        <f t="shared" si="4"/>
        <v>NO</v>
      </c>
      <c r="V91" s="10" t="str">
        <f>IFERROR(VLOOKUP(S91,AFIP!$F$2:$R$999999,13,FALSE),"NO")</f>
        <v>NO</v>
      </c>
      <c r="W91" s="1" t="str">
        <f t="shared" si="5"/>
        <v>NO</v>
      </c>
    </row>
    <row r="92" spans="1:23" x14ac:dyDescent="0.25">
      <c r="A92" s="1" t="s">
        <v>1045</v>
      </c>
      <c r="B92" s="1" t="s">
        <v>1046</v>
      </c>
      <c r="C92" s="1" t="s">
        <v>19</v>
      </c>
      <c r="D92" s="1">
        <v>30718634802</v>
      </c>
      <c r="E92" s="1" t="s">
        <v>20</v>
      </c>
      <c r="F92" s="1" t="s">
        <v>301</v>
      </c>
      <c r="G92" s="1" t="s">
        <v>53</v>
      </c>
      <c r="H92" s="1" t="s">
        <v>54</v>
      </c>
      <c r="I92" s="1" t="s">
        <v>1047</v>
      </c>
      <c r="J92" s="2">
        <v>21</v>
      </c>
      <c r="K92" s="12">
        <v>63700</v>
      </c>
      <c r="L92" s="2">
        <v>52644.63</v>
      </c>
      <c r="M92" s="2">
        <v>0</v>
      </c>
      <c r="N92" s="12">
        <v>11055.37</v>
      </c>
      <c r="O92" s="2">
        <v>0</v>
      </c>
      <c r="P92" s="2">
        <v>0</v>
      </c>
      <c r="Q92" s="2">
        <v>0</v>
      </c>
      <c r="R92" s="2">
        <v>0</v>
      </c>
      <c r="S92" s="8" t="str">
        <f t="shared" si="3"/>
        <v>30718634802000100001001</v>
      </c>
      <c r="T92" s="14" t="str">
        <f>IFERROR(VLOOKUP(S92,AFIP!$F$2:$R$999999,12,FALSE),"NO")</f>
        <v>NO</v>
      </c>
      <c r="U92" s="10" t="str">
        <f t="shared" si="4"/>
        <v>NO</v>
      </c>
      <c r="V92" s="10" t="str">
        <f>IFERROR(VLOOKUP(S92,AFIP!$F$2:$R$999999,13,FALSE),"NO")</f>
        <v>NO</v>
      </c>
      <c r="W92" s="1" t="str">
        <f t="shared" si="5"/>
        <v>NO</v>
      </c>
    </row>
    <row r="93" spans="1:23" x14ac:dyDescent="0.25">
      <c r="A93" s="1" t="s">
        <v>1048</v>
      </c>
      <c r="B93" s="1" t="s">
        <v>62</v>
      </c>
      <c r="C93" s="1" t="s">
        <v>19</v>
      </c>
      <c r="D93" s="1">
        <v>20162895142</v>
      </c>
      <c r="E93" s="1" t="s">
        <v>20</v>
      </c>
      <c r="F93" s="1" t="s">
        <v>301</v>
      </c>
      <c r="G93" s="1" t="s">
        <v>53</v>
      </c>
      <c r="H93" s="1" t="s">
        <v>54</v>
      </c>
      <c r="I93" s="1" t="s">
        <v>1049</v>
      </c>
      <c r="J93" s="2">
        <v>21</v>
      </c>
      <c r="K93" s="12">
        <v>46200</v>
      </c>
      <c r="L93" s="2">
        <v>38181.82</v>
      </c>
      <c r="M93" s="2">
        <v>0</v>
      </c>
      <c r="N93" s="12">
        <v>8018.18</v>
      </c>
      <c r="O93" s="2">
        <v>0</v>
      </c>
      <c r="P93" s="2">
        <v>0</v>
      </c>
      <c r="Q93" s="2">
        <v>0</v>
      </c>
      <c r="R93" s="2">
        <v>0</v>
      </c>
      <c r="S93" s="8" t="str">
        <f t="shared" si="3"/>
        <v>20162895142000300001503</v>
      </c>
      <c r="T93" s="14" t="str">
        <f>IFERROR(VLOOKUP(S93,AFIP!$F$2:$R$999999,12,FALSE),"NO")</f>
        <v>NO</v>
      </c>
      <c r="U93" s="10" t="str">
        <f t="shared" si="4"/>
        <v>NO</v>
      </c>
      <c r="V93" s="10" t="str">
        <f>IFERROR(VLOOKUP(S93,AFIP!$F$2:$R$999999,13,FALSE),"NO")</f>
        <v>NO</v>
      </c>
      <c r="W93" s="1" t="str">
        <f t="shared" si="5"/>
        <v>NO</v>
      </c>
    </row>
    <row r="94" spans="1:23" x14ac:dyDescent="0.25">
      <c r="A94" s="1" t="s">
        <v>1034</v>
      </c>
      <c r="B94" s="1" t="s">
        <v>250</v>
      </c>
      <c r="C94" s="1" t="s">
        <v>19</v>
      </c>
      <c r="D94" s="1">
        <v>20177699889</v>
      </c>
      <c r="E94" s="1" t="s">
        <v>20</v>
      </c>
      <c r="F94" s="1" t="s">
        <v>301</v>
      </c>
      <c r="G94" s="1" t="s">
        <v>53</v>
      </c>
      <c r="H94" s="1" t="s">
        <v>54</v>
      </c>
      <c r="I94" s="1" t="s">
        <v>1050</v>
      </c>
      <c r="J94" s="2">
        <v>21</v>
      </c>
      <c r="K94" s="12">
        <v>44000</v>
      </c>
      <c r="L94" s="2">
        <v>36363.64</v>
      </c>
      <c r="M94" s="2">
        <v>0</v>
      </c>
      <c r="N94" s="12">
        <v>7636.36</v>
      </c>
      <c r="O94" s="2">
        <v>0</v>
      </c>
      <c r="P94" s="2">
        <v>0</v>
      </c>
      <c r="Q94" s="2">
        <v>0</v>
      </c>
      <c r="R94" s="2">
        <v>0</v>
      </c>
      <c r="S94" s="8" t="str">
        <f t="shared" si="3"/>
        <v>20177699889000500000497</v>
      </c>
      <c r="T94" s="14" t="str">
        <f>IFERROR(VLOOKUP(S94,AFIP!$F$2:$R$999999,12,FALSE),"NO")</f>
        <v>NO</v>
      </c>
      <c r="U94" s="10" t="str">
        <f t="shared" si="4"/>
        <v>NO</v>
      </c>
      <c r="V94" s="10" t="str">
        <f>IFERROR(VLOOKUP(S94,AFIP!$F$2:$R$999999,13,FALSE),"NO")</f>
        <v>NO</v>
      </c>
      <c r="W94" s="1" t="str">
        <f t="shared" si="5"/>
        <v>NO</v>
      </c>
    </row>
    <row r="95" spans="1:23" x14ac:dyDescent="0.25">
      <c r="A95" s="1" t="s">
        <v>1051</v>
      </c>
      <c r="B95" s="1" t="s">
        <v>1052</v>
      </c>
      <c r="C95" s="1" t="s">
        <v>19</v>
      </c>
      <c r="D95" s="1">
        <v>30530197413</v>
      </c>
      <c r="E95" s="1" t="s">
        <v>20</v>
      </c>
      <c r="F95" s="1" t="s">
        <v>301</v>
      </c>
      <c r="G95" s="1" t="s">
        <v>53</v>
      </c>
      <c r="H95" s="1" t="s">
        <v>54</v>
      </c>
      <c r="I95" s="1" t="s">
        <v>1053</v>
      </c>
      <c r="J95" s="2">
        <v>21</v>
      </c>
      <c r="K95" s="12">
        <v>11200</v>
      </c>
      <c r="L95" s="2">
        <v>9256.2000000000007</v>
      </c>
      <c r="M95" s="2">
        <v>0</v>
      </c>
      <c r="N95" s="12">
        <v>1943.8</v>
      </c>
      <c r="O95" s="2">
        <v>0</v>
      </c>
      <c r="P95" s="2">
        <v>0</v>
      </c>
      <c r="Q95" s="2">
        <v>0</v>
      </c>
      <c r="R95" s="2">
        <v>0</v>
      </c>
      <c r="S95" s="8" t="str">
        <f t="shared" si="3"/>
        <v>30530197413002100016487</v>
      </c>
      <c r="T95" s="14" t="str">
        <f>IFERROR(VLOOKUP(S95,AFIP!$F$2:$R$999999,12,FALSE),"NO")</f>
        <v>NO</v>
      </c>
      <c r="U95" s="10" t="str">
        <f t="shared" si="4"/>
        <v>NO</v>
      </c>
      <c r="V95" s="10" t="str">
        <f>IFERROR(VLOOKUP(S95,AFIP!$F$2:$R$999999,13,FALSE),"NO")</f>
        <v>NO</v>
      </c>
      <c r="W95" s="1" t="str">
        <f t="shared" si="5"/>
        <v>NO</v>
      </c>
    </row>
    <row r="96" spans="1:23" x14ac:dyDescent="0.25">
      <c r="A96" s="1" t="s">
        <v>1051</v>
      </c>
      <c r="B96" s="1" t="s">
        <v>1052</v>
      </c>
      <c r="C96" s="1" t="s">
        <v>19</v>
      </c>
      <c r="D96" s="1">
        <v>30530197413</v>
      </c>
      <c r="E96" s="1" t="s">
        <v>20</v>
      </c>
      <c r="F96" s="1" t="s">
        <v>301</v>
      </c>
      <c r="G96" s="1" t="s">
        <v>53</v>
      </c>
      <c r="H96" s="1" t="s">
        <v>54</v>
      </c>
      <c r="I96" s="1" t="s">
        <v>1054</v>
      </c>
      <c r="J96" s="2">
        <v>21</v>
      </c>
      <c r="K96" s="12">
        <v>60540.55</v>
      </c>
      <c r="L96" s="2">
        <v>50033.51</v>
      </c>
      <c r="M96" s="2">
        <v>0</v>
      </c>
      <c r="N96" s="12">
        <v>10507.04</v>
      </c>
      <c r="O96" s="2">
        <v>0</v>
      </c>
      <c r="P96" s="2">
        <v>0</v>
      </c>
      <c r="Q96" s="2">
        <v>0</v>
      </c>
      <c r="R96" s="2">
        <v>0</v>
      </c>
      <c r="S96" s="8" t="str">
        <f t="shared" si="3"/>
        <v>30530197413002200056838</v>
      </c>
      <c r="T96" s="14" t="str">
        <f>IFERROR(VLOOKUP(S96,AFIP!$F$2:$R$999999,12,FALSE),"NO")</f>
        <v>NO</v>
      </c>
      <c r="U96" s="10" t="str">
        <f t="shared" si="4"/>
        <v>NO</v>
      </c>
      <c r="V96" s="10" t="str">
        <f>IFERROR(VLOOKUP(S96,AFIP!$F$2:$R$999999,13,FALSE),"NO")</f>
        <v>NO</v>
      </c>
      <c r="W96" s="1" t="str">
        <f t="shared" si="5"/>
        <v>NO</v>
      </c>
    </row>
    <row r="97" spans="1:23" x14ac:dyDescent="0.25">
      <c r="A97" s="1" t="s">
        <v>1051</v>
      </c>
      <c r="B97" s="1" t="s">
        <v>1052</v>
      </c>
      <c r="C97" s="1" t="s">
        <v>19</v>
      </c>
      <c r="D97" s="1">
        <v>30530197413</v>
      </c>
      <c r="E97" s="1" t="s">
        <v>20</v>
      </c>
      <c r="F97" s="1" t="s">
        <v>301</v>
      </c>
      <c r="G97" s="1" t="s">
        <v>53</v>
      </c>
      <c r="H97" s="1" t="s">
        <v>54</v>
      </c>
      <c r="I97" s="1" t="s">
        <v>1054</v>
      </c>
      <c r="J97" s="2">
        <v>0</v>
      </c>
      <c r="K97" s="12">
        <v>5473.78</v>
      </c>
      <c r="L97" s="2">
        <v>0</v>
      </c>
      <c r="M97" s="2">
        <v>5473.78</v>
      </c>
      <c r="N97" s="12">
        <v>0</v>
      </c>
      <c r="O97" s="2">
        <v>0</v>
      </c>
      <c r="P97" s="2">
        <v>0</v>
      </c>
      <c r="Q97" s="2">
        <v>0</v>
      </c>
      <c r="R97" s="2">
        <v>0</v>
      </c>
      <c r="S97" s="8" t="str">
        <f t="shared" si="3"/>
        <v>30530197413002200056838</v>
      </c>
      <c r="T97" s="14" t="str">
        <f>IFERROR(VLOOKUP(S97,AFIP!$F$2:$R$999999,12,FALSE),"NO")</f>
        <v>NO</v>
      </c>
      <c r="U97" s="10" t="str">
        <f t="shared" si="4"/>
        <v>NO</v>
      </c>
      <c r="V97" s="10" t="str">
        <f>IFERROR(VLOOKUP(S97,AFIP!$F$2:$R$999999,13,FALSE),"NO")</f>
        <v>NO</v>
      </c>
      <c r="W97" s="1" t="str">
        <f t="shared" si="5"/>
        <v>NO</v>
      </c>
    </row>
    <row r="98" spans="1:23" x14ac:dyDescent="0.25">
      <c r="A98" s="1" t="s">
        <v>1055</v>
      </c>
      <c r="B98" s="1" t="s">
        <v>1056</v>
      </c>
      <c r="C98" s="1" t="s">
        <v>19</v>
      </c>
      <c r="D98" s="1">
        <v>30668473241</v>
      </c>
      <c r="E98" s="1" t="s">
        <v>20</v>
      </c>
      <c r="F98" s="1" t="s">
        <v>301</v>
      </c>
      <c r="G98" s="1" t="s">
        <v>53</v>
      </c>
      <c r="H98" s="1" t="s">
        <v>54</v>
      </c>
      <c r="I98" s="1" t="s">
        <v>1057</v>
      </c>
      <c r="J98" s="2">
        <v>21</v>
      </c>
      <c r="K98" s="12">
        <v>62052.07</v>
      </c>
      <c r="L98" s="2">
        <v>51282.7</v>
      </c>
      <c r="M98" s="2">
        <v>0</v>
      </c>
      <c r="N98" s="12">
        <v>10769.37</v>
      </c>
      <c r="O98" s="2">
        <v>0</v>
      </c>
      <c r="P98" s="2">
        <v>0</v>
      </c>
      <c r="Q98" s="2">
        <v>0</v>
      </c>
      <c r="R98" s="2">
        <v>0</v>
      </c>
      <c r="S98" s="8" t="str">
        <f t="shared" si="3"/>
        <v>30668473241014200013446</v>
      </c>
      <c r="T98" s="14" t="str">
        <f>IFERROR(VLOOKUP(S98,AFIP!$F$2:$R$999999,12,FALSE),"NO")</f>
        <v>NO</v>
      </c>
      <c r="U98" s="10" t="str">
        <f t="shared" si="4"/>
        <v>NO</v>
      </c>
      <c r="V98" s="10" t="str">
        <f>IFERROR(VLOOKUP(S98,AFIP!$F$2:$R$999999,13,FALSE),"NO")</f>
        <v>NO</v>
      </c>
      <c r="W98" s="1" t="str">
        <f t="shared" si="5"/>
        <v>NO</v>
      </c>
    </row>
    <row r="99" spans="1:23" x14ac:dyDescent="0.25">
      <c r="A99" s="1" t="s">
        <v>1055</v>
      </c>
      <c r="B99" s="1" t="s">
        <v>1056</v>
      </c>
      <c r="C99" s="1" t="s">
        <v>19</v>
      </c>
      <c r="D99" s="1">
        <v>30668473241</v>
      </c>
      <c r="E99" s="1" t="s">
        <v>20</v>
      </c>
      <c r="F99" s="1" t="s">
        <v>301</v>
      </c>
      <c r="G99" s="1" t="s">
        <v>53</v>
      </c>
      <c r="H99" s="1" t="s">
        <v>54</v>
      </c>
      <c r="I99" s="1" t="s">
        <v>1057</v>
      </c>
      <c r="J99" s="2">
        <v>0</v>
      </c>
      <c r="K99" s="12">
        <v>7953</v>
      </c>
      <c r="L99" s="2">
        <v>0</v>
      </c>
      <c r="M99" s="2">
        <v>7953</v>
      </c>
      <c r="N99" s="12">
        <v>0</v>
      </c>
      <c r="O99" s="2">
        <v>0</v>
      </c>
      <c r="P99" s="2">
        <v>0</v>
      </c>
      <c r="Q99" s="2">
        <v>0</v>
      </c>
      <c r="R99" s="2">
        <v>0</v>
      </c>
      <c r="S99" s="8" t="str">
        <f t="shared" si="3"/>
        <v>30668473241014200013446</v>
      </c>
      <c r="T99" s="14" t="str">
        <f>IFERROR(VLOOKUP(S99,AFIP!$F$2:$R$999999,12,FALSE),"NO")</f>
        <v>NO</v>
      </c>
      <c r="U99" s="10" t="str">
        <f t="shared" si="4"/>
        <v>NO</v>
      </c>
      <c r="V99" s="10" t="str">
        <f>IFERROR(VLOOKUP(S99,AFIP!$F$2:$R$999999,13,FALSE),"NO")</f>
        <v>NO</v>
      </c>
      <c r="W99" s="1" t="str">
        <f t="shared" si="5"/>
        <v>NO</v>
      </c>
    </row>
    <row r="100" spans="1:23" x14ac:dyDescent="0.25">
      <c r="A100" s="1" t="s">
        <v>1058</v>
      </c>
      <c r="B100" s="1" t="s">
        <v>1059</v>
      </c>
      <c r="C100" s="1" t="s">
        <v>19</v>
      </c>
      <c r="D100" s="1">
        <v>30717843777</v>
      </c>
      <c r="E100" s="1" t="s">
        <v>20</v>
      </c>
      <c r="F100" s="1" t="s">
        <v>247</v>
      </c>
      <c r="G100" s="1" t="s">
        <v>53</v>
      </c>
      <c r="H100" s="1" t="s">
        <v>54</v>
      </c>
      <c r="I100" s="1" t="s">
        <v>1060</v>
      </c>
      <c r="J100" s="2">
        <v>21</v>
      </c>
      <c r="K100" s="12">
        <v>72499.929999999993</v>
      </c>
      <c r="L100" s="2">
        <v>59917.3</v>
      </c>
      <c r="M100" s="2">
        <v>0</v>
      </c>
      <c r="N100" s="12">
        <v>12582.63</v>
      </c>
      <c r="O100" s="2">
        <v>0</v>
      </c>
      <c r="P100" s="2">
        <v>0</v>
      </c>
      <c r="Q100" s="2">
        <v>0</v>
      </c>
      <c r="R100" s="2">
        <v>0</v>
      </c>
      <c r="S100" s="8" t="str">
        <f t="shared" si="3"/>
        <v>30717843777000300005226</v>
      </c>
      <c r="T100" s="14" t="str">
        <f>IFERROR(VLOOKUP(S100,AFIP!$F$2:$R$999999,12,FALSE),"NO")</f>
        <v>NO</v>
      </c>
      <c r="U100" s="10" t="str">
        <f t="shared" si="4"/>
        <v>NO</v>
      </c>
      <c r="V100" s="10" t="str">
        <f>IFERROR(VLOOKUP(S100,AFIP!$F$2:$R$999999,13,FALSE),"NO")</f>
        <v>NO</v>
      </c>
      <c r="W100" s="1" t="str">
        <f t="shared" si="5"/>
        <v>NO</v>
      </c>
    </row>
    <row r="101" spans="1:23" x14ac:dyDescent="0.25">
      <c r="A101" s="1" t="s">
        <v>1058</v>
      </c>
      <c r="B101" s="1" t="s">
        <v>1059</v>
      </c>
      <c r="C101" s="1" t="s">
        <v>19</v>
      </c>
      <c r="D101" s="1">
        <v>30717843777</v>
      </c>
      <c r="E101" s="1" t="s">
        <v>20</v>
      </c>
      <c r="F101" s="1" t="s">
        <v>247</v>
      </c>
      <c r="G101" s="1" t="s">
        <v>53</v>
      </c>
      <c r="H101" s="1" t="s">
        <v>54</v>
      </c>
      <c r="I101" s="1" t="s">
        <v>1060</v>
      </c>
      <c r="J101" s="2">
        <v>0</v>
      </c>
      <c r="K101" s="12">
        <v>0.08</v>
      </c>
      <c r="L101" s="2">
        <v>0</v>
      </c>
      <c r="M101" s="2">
        <v>0.08</v>
      </c>
      <c r="N101" s="12">
        <v>0</v>
      </c>
      <c r="O101" s="2">
        <v>0</v>
      </c>
      <c r="P101" s="2">
        <v>0</v>
      </c>
      <c r="Q101" s="2">
        <v>0</v>
      </c>
      <c r="R101" s="2">
        <v>0</v>
      </c>
      <c r="S101" s="8" t="str">
        <f t="shared" si="3"/>
        <v>30717843777000300005226</v>
      </c>
      <c r="T101" s="14" t="str">
        <f>IFERROR(VLOOKUP(S101,AFIP!$F$2:$R$999999,12,FALSE),"NO")</f>
        <v>NO</v>
      </c>
      <c r="U101" s="10" t="str">
        <f t="shared" si="4"/>
        <v>NO</v>
      </c>
      <c r="V101" s="10" t="str">
        <f>IFERROR(VLOOKUP(S101,AFIP!$F$2:$R$999999,13,FALSE),"NO")</f>
        <v>NO</v>
      </c>
      <c r="W101" s="1" t="str">
        <f t="shared" si="5"/>
        <v>NO</v>
      </c>
    </row>
    <row r="102" spans="1:23" x14ac:dyDescent="0.25">
      <c r="A102" s="1" t="s">
        <v>1061</v>
      </c>
      <c r="B102" s="1" t="s">
        <v>1062</v>
      </c>
      <c r="C102" s="1" t="s">
        <v>19</v>
      </c>
      <c r="D102" s="1">
        <v>33717507059</v>
      </c>
      <c r="E102" s="1" t="s">
        <v>20</v>
      </c>
      <c r="F102" s="1" t="s">
        <v>247</v>
      </c>
      <c r="G102" s="1" t="s">
        <v>53</v>
      </c>
      <c r="H102" s="1" t="s">
        <v>54</v>
      </c>
      <c r="I102" s="1" t="s">
        <v>1063</v>
      </c>
      <c r="J102" s="2">
        <v>21</v>
      </c>
      <c r="K102" s="12">
        <v>36540.25</v>
      </c>
      <c r="L102" s="2">
        <v>30198.55</v>
      </c>
      <c r="M102" s="2">
        <v>0</v>
      </c>
      <c r="N102" s="12">
        <v>6341.7</v>
      </c>
      <c r="O102" s="2">
        <v>0</v>
      </c>
      <c r="P102" s="2">
        <v>0</v>
      </c>
      <c r="Q102" s="2">
        <v>0</v>
      </c>
      <c r="R102" s="2">
        <v>0</v>
      </c>
      <c r="S102" s="8" t="str">
        <f t="shared" si="3"/>
        <v>33717507059000400007607</v>
      </c>
      <c r="T102" s="14" t="str">
        <f>IFERROR(VLOOKUP(S102,AFIP!$F$2:$R$999999,12,FALSE),"NO")</f>
        <v>NO</v>
      </c>
      <c r="U102" s="10" t="str">
        <f t="shared" si="4"/>
        <v>NO</v>
      </c>
      <c r="V102" s="10" t="str">
        <f>IFERROR(VLOOKUP(S102,AFIP!$F$2:$R$999999,13,FALSE),"NO")</f>
        <v>NO</v>
      </c>
      <c r="W102" s="1" t="str">
        <f t="shared" si="5"/>
        <v>NO</v>
      </c>
    </row>
    <row r="103" spans="1:23" x14ac:dyDescent="0.25">
      <c r="A103" s="1" t="s">
        <v>1061</v>
      </c>
      <c r="B103" s="1" t="s">
        <v>1062</v>
      </c>
      <c r="C103" s="1" t="s">
        <v>19</v>
      </c>
      <c r="D103" s="1">
        <v>33717507059</v>
      </c>
      <c r="E103" s="1" t="s">
        <v>20</v>
      </c>
      <c r="F103" s="1" t="s">
        <v>247</v>
      </c>
      <c r="G103" s="1" t="s">
        <v>53</v>
      </c>
      <c r="H103" s="1" t="s">
        <v>54</v>
      </c>
      <c r="I103" s="1" t="s">
        <v>1063</v>
      </c>
      <c r="J103" s="2">
        <v>0</v>
      </c>
      <c r="K103" s="12">
        <v>159.75</v>
      </c>
      <c r="L103" s="2">
        <v>0</v>
      </c>
      <c r="M103" s="2">
        <v>159.75</v>
      </c>
      <c r="N103" s="12">
        <v>0</v>
      </c>
      <c r="O103" s="2">
        <v>0</v>
      </c>
      <c r="P103" s="2">
        <v>0</v>
      </c>
      <c r="Q103" s="2">
        <v>0</v>
      </c>
      <c r="R103" s="2">
        <v>0</v>
      </c>
      <c r="S103" s="8" t="str">
        <f t="shared" si="3"/>
        <v>33717507059000400007607</v>
      </c>
      <c r="T103" s="14" t="str">
        <f>IFERROR(VLOOKUP(S103,AFIP!$F$2:$R$999999,12,FALSE),"NO")</f>
        <v>NO</v>
      </c>
      <c r="U103" s="10" t="str">
        <f t="shared" si="4"/>
        <v>NO</v>
      </c>
      <c r="V103" s="10" t="str">
        <f>IFERROR(VLOOKUP(S103,AFIP!$F$2:$R$999999,13,FALSE),"NO")</f>
        <v>NO</v>
      </c>
      <c r="W103" s="1" t="str">
        <f t="shared" si="5"/>
        <v>NO</v>
      </c>
    </row>
    <row r="104" spans="1:23" x14ac:dyDescent="0.25">
      <c r="A104" s="1" t="s">
        <v>1064</v>
      </c>
      <c r="B104" s="1" t="s">
        <v>1065</v>
      </c>
      <c r="C104" s="1" t="s">
        <v>19</v>
      </c>
      <c r="D104" s="1">
        <v>27181146317</v>
      </c>
      <c r="E104" s="1" t="s">
        <v>63</v>
      </c>
      <c r="F104" s="1" t="s">
        <v>247</v>
      </c>
      <c r="G104" s="1" t="s">
        <v>53</v>
      </c>
      <c r="H104" s="1" t="s">
        <v>59</v>
      </c>
      <c r="I104" s="1" t="s">
        <v>1066</v>
      </c>
      <c r="J104" s="2">
        <v>21</v>
      </c>
      <c r="K104" s="12">
        <v>89219.23</v>
      </c>
      <c r="L104" s="2">
        <v>73734.899999999994</v>
      </c>
      <c r="M104" s="2">
        <v>0</v>
      </c>
      <c r="N104" s="12">
        <v>15484.33</v>
      </c>
      <c r="O104" s="2">
        <v>0</v>
      </c>
      <c r="P104" s="2">
        <v>0</v>
      </c>
      <c r="Q104" s="2">
        <v>0</v>
      </c>
      <c r="R104" s="2">
        <v>0</v>
      </c>
      <c r="S104" s="8" t="str">
        <f t="shared" si="3"/>
        <v>27181146317003400047281</v>
      </c>
      <c r="T104" s="14" t="str">
        <f>IFERROR(VLOOKUP(S104,AFIP!$F$2:$R$999999,12,FALSE),"NO")</f>
        <v>NO</v>
      </c>
      <c r="U104" s="10" t="str">
        <f t="shared" si="4"/>
        <v>NO</v>
      </c>
      <c r="V104" s="10" t="str">
        <f>IFERROR(VLOOKUP(S104,AFIP!$F$2:$R$999999,13,FALSE),"NO")</f>
        <v>NO</v>
      </c>
      <c r="W104" s="1" t="str">
        <f t="shared" si="5"/>
        <v>NO</v>
      </c>
    </row>
    <row r="105" spans="1:23" x14ac:dyDescent="0.25">
      <c r="A105" s="1" t="s">
        <v>1064</v>
      </c>
      <c r="B105" s="1" t="s">
        <v>1065</v>
      </c>
      <c r="C105" s="1" t="s">
        <v>19</v>
      </c>
      <c r="D105" s="1">
        <v>27181146317</v>
      </c>
      <c r="E105" s="1" t="s">
        <v>63</v>
      </c>
      <c r="F105" s="1" t="s">
        <v>247</v>
      </c>
      <c r="G105" s="1" t="s">
        <v>53</v>
      </c>
      <c r="H105" s="1" t="s">
        <v>59</v>
      </c>
      <c r="I105" s="1" t="s">
        <v>1066</v>
      </c>
      <c r="J105" s="2">
        <v>0</v>
      </c>
      <c r="K105" s="12">
        <v>10780.77</v>
      </c>
      <c r="L105" s="2">
        <v>0</v>
      </c>
      <c r="M105" s="2">
        <v>10780.77</v>
      </c>
      <c r="N105" s="12">
        <v>0</v>
      </c>
      <c r="O105" s="2">
        <v>0</v>
      </c>
      <c r="P105" s="2">
        <v>0</v>
      </c>
      <c r="Q105" s="2">
        <v>0</v>
      </c>
      <c r="R105" s="2">
        <v>0</v>
      </c>
      <c r="S105" s="8" t="str">
        <f t="shared" si="3"/>
        <v>27181146317003400047281</v>
      </c>
      <c r="T105" s="14" t="str">
        <f>IFERROR(VLOOKUP(S105,AFIP!$F$2:$R$999999,12,FALSE),"NO")</f>
        <v>NO</v>
      </c>
      <c r="U105" s="10" t="str">
        <f t="shared" si="4"/>
        <v>NO</v>
      </c>
      <c r="V105" s="10" t="str">
        <f>IFERROR(VLOOKUP(S105,AFIP!$F$2:$R$999999,13,FALSE),"NO")</f>
        <v>NO</v>
      </c>
      <c r="W105" s="1" t="str">
        <f t="shared" si="5"/>
        <v>NO</v>
      </c>
    </row>
    <row r="106" spans="1:23" x14ac:dyDescent="0.25">
      <c r="A106" s="1" t="s">
        <v>1067</v>
      </c>
      <c r="B106" s="1" t="s">
        <v>1068</v>
      </c>
      <c r="C106" s="1" t="s">
        <v>19</v>
      </c>
      <c r="D106" s="1">
        <v>30718158210</v>
      </c>
      <c r="E106" s="1" t="s">
        <v>20</v>
      </c>
      <c r="F106" s="1" t="s">
        <v>248</v>
      </c>
      <c r="G106" s="1" t="s">
        <v>53</v>
      </c>
      <c r="H106" s="1" t="s">
        <v>54</v>
      </c>
      <c r="I106" s="1" t="s">
        <v>1069</v>
      </c>
      <c r="J106" s="2">
        <v>21</v>
      </c>
      <c r="K106" s="12">
        <v>84200</v>
      </c>
      <c r="L106" s="2">
        <v>69586.78</v>
      </c>
      <c r="M106" s="2">
        <v>0</v>
      </c>
      <c r="N106" s="12">
        <v>14613.22</v>
      </c>
      <c r="O106" s="2">
        <v>0</v>
      </c>
      <c r="P106" s="2">
        <v>0</v>
      </c>
      <c r="Q106" s="2">
        <v>0</v>
      </c>
      <c r="R106" s="2">
        <v>0</v>
      </c>
      <c r="S106" s="8" t="str">
        <f t="shared" si="3"/>
        <v>30718158210000300000766</v>
      </c>
      <c r="T106" s="14" t="str">
        <f>IFERROR(VLOOKUP(S106,AFIP!$F$2:$R$999999,12,FALSE),"NO")</f>
        <v>NO</v>
      </c>
      <c r="U106" s="10" t="str">
        <f t="shared" si="4"/>
        <v>NO</v>
      </c>
      <c r="V106" s="10" t="str">
        <f>IFERROR(VLOOKUP(S106,AFIP!$F$2:$R$999999,13,FALSE),"NO")</f>
        <v>NO</v>
      </c>
      <c r="W106" s="1" t="str">
        <f t="shared" si="5"/>
        <v>NO</v>
      </c>
    </row>
    <row r="107" spans="1:23" x14ac:dyDescent="0.25">
      <c r="A107" s="1" t="s">
        <v>426</v>
      </c>
      <c r="B107" s="1" t="s">
        <v>427</v>
      </c>
      <c r="C107" s="1" t="s">
        <v>19</v>
      </c>
      <c r="D107" s="1">
        <v>30703088534</v>
      </c>
      <c r="E107" s="1" t="s">
        <v>20</v>
      </c>
      <c r="F107" s="1" t="s">
        <v>248</v>
      </c>
      <c r="G107" s="1" t="s">
        <v>53</v>
      </c>
      <c r="H107" s="1" t="s">
        <v>54</v>
      </c>
      <c r="I107" s="1" t="s">
        <v>428</v>
      </c>
      <c r="J107" s="2">
        <v>21</v>
      </c>
      <c r="K107" s="12">
        <v>1715105.64</v>
      </c>
      <c r="L107" s="2">
        <v>1383149.71</v>
      </c>
      <c r="M107" s="2">
        <v>0</v>
      </c>
      <c r="N107" s="12">
        <v>290461.44</v>
      </c>
      <c r="O107" s="2">
        <v>41494.49</v>
      </c>
      <c r="P107" s="2">
        <v>0</v>
      </c>
      <c r="Q107" s="2">
        <v>0</v>
      </c>
      <c r="R107" s="2">
        <v>0</v>
      </c>
      <c r="S107" s="8" t="str">
        <f t="shared" si="3"/>
        <v>30703088534007900438031</v>
      </c>
      <c r="T107" s="14" t="str">
        <f>IFERROR(VLOOKUP(S107,AFIP!$F$2:$R$999999,12,FALSE),"NO")</f>
        <v>NO</v>
      </c>
      <c r="U107" s="10" t="str">
        <f t="shared" si="4"/>
        <v>NO</v>
      </c>
      <c r="V107" s="10" t="str">
        <f>IFERROR(VLOOKUP(S107,AFIP!$F$2:$R$999999,13,FALSE),"NO")</f>
        <v>NO</v>
      </c>
      <c r="W107" s="1" t="str">
        <f t="shared" si="5"/>
        <v>NO</v>
      </c>
    </row>
    <row r="108" spans="1:23" x14ac:dyDescent="0.25">
      <c r="A108" s="1" t="s">
        <v>1031</v>
      </c>
      <c r="B108" s="1" t="s">
        <v>1032</v>
      </c>
      <c r="C108" s="1" t="s">
        <v>19</v>
      </c>
      <c r="D108" s="1">
        <v>20183925599</v>
      </c>
      <c r="E108" s="1" t="s">
        <v>20</v>
      </c>
      <c r="F108" s="1" t="s">
        <v>307</v>
      </c>
      <c r="G108" s="1" t="s">
        <v>53</v>
      </c>
      <c r="H108" s="1" t="s">
        <v>54</v>
      </c>
      <c r="I108" s="1" t="s">
        <v>1070</v>
      </c>
      <c r="J108" s="2">
        <v>21</v>
      </c>
      <c r="K108" s="12">
        <v>44800.25</v>
      </c>
      <c r="L108" s="2">
        <v>37025</v>
      </c>
      <c r="M108" s="2">
        <v>0</v>
      </c>
      <c r="N108" s="12">
        <v>7775.25</v>
      </c>
      <c r="O108" s="2">
        <v>0</v>
      </c>
      <c r="P108" s="2">
        <v>0</v>
      </c>
      <c r="Q108" s="2">
        <v>0</v>
      </c>
      <c r="R108" s="2">
        <v>0</v>
      </c>
      <c r="S108" s="8" t="str">
        <f t="shared" si="3"/>
        <v>20183925599000100000620</v>
      </c>
      <c r="T108" s="14" t="str">
        <f>IFERROR(VLOOKUP(S108,AFIP!$F$2:$R$999999,12,FALSE),"NO")</f>
        <v>NO</v>
      </c>
      <c r="U108" s="10" t="str">
        <f t="shared" si="4"/>
        <v>NO</v>
      </c>
      <c r="V108" s="10" t="str">
        <f>IFERROR(VLOOKUP(S108,AFIP!$F$2:$R$999999,13,FALSE),"NO")</f>
        <v>NO</v>
      </c>
      <c r="W108" s="1" t="str">
        <f t="shared" si="5"/>
        <v>NO</v>
      </c>
    </row>
    <row r="109" spans="1:23" x14ac:dyDescent="0.25">
      <c r="A109" s="1" t="s">
        <v>1071</v>
      </c>
      <c r="B109" s="1" t="s">
        <v>1072</v>
      </c>
      <c r="C109" s="1" t="s">
        <v>19</v>
      </c>
      <c r="D109" s="1">
        <v>30718330498</v>
      </c>
      <c r="E109" s="1" t="s">
        <v>20</v>
      </c>
      <c r="F109" s="1" t="s">
        <v>307</v>
      </c>
      <c r="G109" s="1" t="s">
        <v>53</v>
      </c>
      <c r="H109" s="1" t="s">
        <v>54</v>
      </c>
      <c r="I109" s="1" t="s">
        <v>1073</v>
      </c>
      <c r="J109" s="2">
        <v>21</v>
      </c>
      <c r="K109" s="12">
        <v>90500</v>
      </c>
      <c r="L109" s="2">
        <v>74793.39</v>
      </c>
      <c r="M109" s="2">
        <v>0</v>
      </c>
      <c r="N109" s="12">
        <v>15706.61</v>
      </c>
      <c r="O109" s="2">
        <v>0</v>
      </c>
      <c r="P109" s="2">
        <v>0</v>
      </c>
      <c r="Q109" s="2">
        <v>0</v>
      </c>
      <c r="R109" s="2">
        <v>0</v>
      </c>
      <c r="S109" s="8" t="str">
        <f t="shared" si="3"/>
        <v>30718330498000200000059</v>
      </c>
      <c r="T109" s="14" t="str">
        <f>IFERROR(VLOOKUP(S109,AFIP!$F$2:$R$999999,12,FALSE),"NO")</f>
        <v>NO</v>
      </c>
      <c r="U109" s="10" t="str">
        <f t="shared" si="4"/>
        <v>NO</v>
      </c>
      <c r="V109" s="10" t="str">
        <f>IFERROR(VLOOKUP(S109,AFIP!$F$2:$R$999999,13,FALSE),"NO")</f>
        <v>NO</v>
      </c>
      <c r="W109" s="1" t="str">
        <f t="shared" si="5"/>
        <v>NO</v>
      </c>
    </row>
    <row r="110" spans="1:23" x14ac:dyDescent="0.25">
      <c r="A110" s="1" t="s">
        <v>137</v>
      </c>
      <c r="B110" s="1" t="s">
        <v>138</v>
      </c>
      <c r="C110" s="1" t="s">
        <v>19</v>
      </c>
      <c r="D110" s="1">
        <v>23066238849</v>
      </c>
      <c r="E110" s="1" t="s">
        <v>20</v>
      </c>
      <c r="F110" s="1" t="s">
        <v>307</v>
      </c>
      <c r="G110" s="1" t="s">
        <v>53</v>
      </c>
      <c r="H110" s="1" t="s">
        <v>54</v>
      </c>
      <c r="I110" s="1" t="s">
        <v>1074</v>
      </c>
      <c r="J110" s="2">
        <v>21</v>
      </c>
      <c r="K110" s="12">
        <v>40000</v>
      </c>
      <c r="L110" s="2">
        <v>33057.85</v>
      </c>
      <c r="M110" s="2">
        <v>0</v>
      </c>
      <c r="N110" s="12">
        <v>6942.15</v>
      </c>
      <c r="O110" s="2">
        <v>0</v>
      </c>
      <c r="P110" s="2">
        <v>0</v>
      </c>
      <c r="Q110" s="2">
        <v>0</v>
      </c>
      <c r="R110" s="2">
        <v>0</v>
      </c>
      <c r="S110" s="8" t="str">
        <f t="shared" si="3"/>
        <v>23066238849000500015165</v>
      </c>
      <c r="T110" s="14" t="str">
        <f>IFERROR(VLOOKUP(S110,AFIP!$F$2:$R$999999,12,FALSE),"NO")</f>
        <v>NO</v>
      </c>
      <c r="U110" s="10" t="str">
        <f t="shared" si="4"/>
        <v>NO</v>
      </c>
      <c r="V110" s="10" t="str">
        <f>IFERROR(VLOOKUP(S110,AFIP!$F$2:$R$999999,13,FALSE),"NO")</f>
        <v>NO</v>
      </c>
      <c r="W110" s="1" t="str">
        <f t="shared" si="5"/>
        <v>NO</v>
      </c>
    </row>
    <row r="111" spans="1:23" x14ac:dyDescent="0.25">
      <c r="A111" s="1" t="s">
        <v>60</v>
      </c>
      <c r="B111" s="1" t="s">
        <v>61</v>
      </c>
      <c r="C111" s="1" t="s">
        <v>19</v>
      </c>
      <c r="D111" s="1">
        <v>30715706934</v>
      </c>
      <c r="E111" s="1" t="s">
        <v>20</v>
      </c>
      <c r="F111" s="1" t="s">
        <v>307</v>
      </c>
      <c r="G111" s="1" t="s">
        <v>53</v>
      </c>
      <c r="H111" s="1" t="s">
        <v>54</v>
      </c>
      <c r="I111" s="1" t="s">
        <v>429</v>
      </c>
      <c r="J111" s="2">
        <v>21</v>
      </c>
      <c r="K111" s="12">
        <v>56594.86</v>
      </c>
      <c r="L111" s="2">
        <v>46772.61</v>
      </c>
      <c r="M111" s="2">
        <v>0</v>
      </c>
      <c r="N111" s="12">
        <v>9822.25</v>
      </c>
      <c r="O111" s="2">
        <v>0</v>
      </c>
      <c r="P111" s="2">
        <v>0</v>
      </c>
      <c r="Q111" s="2">
        <v>0</v>
      </c>
      <c r="R111" s="2">
        <v>0</v>
      </c>
      <c r="S111" s="8" t="str">
        <f t="shared" si="3"/>
        <v>30715706934002400017408</v>
      </c>
      <c r="T111" s="14" t="str">
        <f>IFERROR(VLOOKUP(S111,AFIP!$F$2:$R$999999,12,FALSE),"NO")</f>
        <v>NO</v>
      </c>
      <c r="U111" s="10" t="str">
        <f t="shared" si="4"/>
        <v>NO</v>
      </c>
      <c r="V111" s="10" t="str">
        <f>IFERROR(VLOOKUP(S111,AFIP!$F$2:$R$999999,13,FALSE),"NO")</f>
        <v>NO</v>
      </c>
      <c r="W111" s="1" t="str">
        <f t="shared" si="5"/>
        <v>NO</v>
      </c>
    </row>
    <row r="112" spans="1:23" x14ac:dyDescent="0.25">
      <c r="A112" s="1" t="s">
        <v>60</v>
      </c>
      <c r="B112" s="1" t="s">
        <v>61</v>
      </c>
      <c r="C112" s="1" t="s">
        <v>19</v>
      </c>
      <c r="D112" s="1">
        <v>30715706934</v>
      </c>
      <c r="E112" s="1" t="s">
        <v>20</v>
      </c>
      <c r="F112" s="1" t="s">
        <v>307</v>
      </c>
      <c r="G112" s="1" t="s">
        <v>53</v>
      </c>
      <c r="H112" s="1" t="s">
        <v>54</v>
      </c>
      <c r="I112" s="1" t="s">
        <v>429</v>
      </c>
      <c r="J112" s="2">
        <v>0</v>
      </c>
      <c r="K112" s="12">
        <v>12459.15</v>
      </c>
      <c r="L112" s="2">
        <v>0</v>
      </c>
      <c r="M112" s="2">
        <v>12459.15</v>
      </c>
      <c r="N112" s="12">
        <v>0</v>
      </c>
      <c r="O112" s="2">
        <v>0</v>
      </c>
      <c r="P112" s="2">
        <v>0</v>
      </c>
      <c r="Q112" s="2">
        <v>0</v>
      </c>
      <c r="R112" s="2">
        <v>0</v>
      </c>
      <c r="S112" s="8" t="str">
        <f t="shared" si="3"/>
        <v>30715706934002400017408</v>
      </c>
      <c r="T112" s="14" t="str">
        <f>IFERROR(VLOOKUP(S112,AFIP!$F$2:$R$999999,12,FALSE),"NO")</f>
        <v>NO</v>
      </c>
      <c r="U112" s="10" t="str">
        <f t="shared" si="4"/>
        <v>NO</v>
      </c>
      <c r="V112" s="10" t="str">
        <f>IFERROR(VLOOKUP(S112,AFIP!$F$2:$R$999999,13,FALSE),"NO")</f>
        <v>NO</v>
      </c>
      <c r="W112" s="1" t="str">
        <f t="shared" si="5"/>
        <v>NO</v>
      </c>
    </row>
    <row r="113" spans="1:23" x14ac:dyDescent="0.25">
      <c r="A113" s="1" t="s">
        <v>60</v>
      </c>
      <c r="B113" s="1" t="s">
        <v>61</v>
      </c>
      <c r="C113" s="1" t="s">
        <v>19</v>
      </c>
      <c r="D113" s="1">
        <v>30715706934</v>
      </c>
      <c r="E113" s="1" t="s">
        <v>20</v>
      </c>
      <c r="F113" s="1" t="s">
        <v>307</v>
      </c>
      <c r="G113" s="1" t="s">
        <v>53</v>
      </c>
      <c r="H113" s="1" t="s">
        <v>54</v>
      </c>
      <c r="I113" s="1" t="s">
        <v>430</v>
      </c>
      <c r="J113" s="2">
        <v>21</v>
      </c>
      <c r="K113" s="12">
        <v>8734.98</v>
      </c>
      <c r="L113" s="2">
        <v>7218.99</v>
      </c>
      <c r="M113" s="2">
        <v>0</v>
      </c>
      <c r="N113" s="12">
        <v>1515.99</v>
      </c>
      <c r="O113" s="2">
        <v>0</v>
      </c>
      <c r="P113" s="2">
        <v>0</v>
      </c>
      <c r="Q113" s="2">
        <v>0</v>
      </c>
      <c r="R113" s="2">
        <v>0</v>
      </c>
      <c r="S113" s="8" t="str">
        <f t="shared" si="3"/>
        <v>30715706934002500004733</v>
      </c>
      <c r="T113" s="14" t="str">
        <f>IFERROR(VLOOKUP(S113,AFIP!$F$2:$R$999999,12,FALSE),"NO")</f>
        <v>NO</v>
      </c>
      <c r="U113" s="10" t="str">
        <f t="shared" si="4"/>
        <v>NO</v>
      </c>
      <c r="V113" s="10" t="str">
        <f>IFERROR(VLOOKUP(S113,AFIP!$F$2:$R$999999,13,FALSE),"NO")</f>
        <v>NO</v>
      </c>
      <c r="W113" s="1" t="str">
        <f t="shared" si="5"/>
        <v>NO</v>
      </c>
    </row>
    <row r="114" spans="1:23" x14ac:dyDescent="0.25">
      <c r="A114" s="1" t="s">
        <v>60</v>
      </c>
      <c r="B114" s="1" t="s">
        <v>61</v>
      </c>
      <c r="C114" s="1" t="s">
        <v>19</v>
      </c>
      <c r="D114" s="1">
        <v>30715706934</v>
      </c>
      <c r="E114" s="1" t="s">
        <v>20</v>
      </c>
      <c r="F114" s="1" t="s">
        <v>307</v>
      </c>
      <c r="G114" s="1" t="s">
        <v>53</v>
      </c>
      <c r="H114" s="1" t="s">
        <v>54</v>
      </c>
      <c r="I114" s="1" t="s">
        <v>430</v>
      </c>
      <c r="J114" s="2">
        <v>0</v>
      </c>
      <c r="K114" s="12">
        <v>30.02</v>
      </c>
      <c r="L114" s="2">
        <v>0</v>
      </c>
      <c r="M114" s="2">
        <v>30.02</v>
      </c>
      <c r="N114" s="12">
        <v>0</v>
      </c>
      <c r="O114" s="2">
        <v>0</v>
      </c>
      <c r="P114" s="2">
        <v>0</v>
      </c>
      <c r="Q114" s="2">
        <v>0</v>
      </c>
      <c r="R114" s="2">
        <v>0</v>
      </c>
      <c r="S114" s="8" t="str">
        <f t="shared" si="3"/>
        <v>30715706934002500004733</v>
      </c>
      <c r="T114" s="14" t="str">
        <f>IFERROR(VLOOKUP(S114,AFIP!$F$2:$R$999999,12,FALSE),"NO")</f>
        <v>NO</v>
      </c>
      <c r="U114" s="10" t="str">
        <f t="shared" si="4"/>
        <v>NO</v>
      </c>
      <c r="V114" s="10" t="str">
        <f>IFERROR(VLOOKUP(S114,AFIP!$F$2:$R$999999,13,FALSE),"NO")</f>
        <v>NO</v>
      </c>
      <c r="W114" s="1" t="str">
        <f t="shared" si="5"/>
        <v>NO</v>
      </c>
    </row>
    <row r="115" spans="1:23" x14ac:dyDescent="0.25">
      <c r="A115" s="1" t="s">
        <v>33</v>
      </c>
      <c r="B115" s="1" t="s">
        <v>34</v>
      </c>
      <c r="C115" s="1" t="s">
        <v>19</v>
      </c>
      <c r="D115" s="1">
        <v>33708336969</v>
      </c>
      <c r="E115" s="1" t="s">
        <v>20</v>
      </c>
      <c r="F115" s="1" t="s">
        <v>307</v>
      </c>
      <c r="G115" s="1" t="s">
        <v>53</v>
      </c>
      <c r="H115" s="1" t="s">
        <v>54</v>
      </c>
      <c r="I115" s="1" t="s">
        <v>431</v>
      </c>
      <c r="J115" s="2">
        <v>21</v>
      </c>
      <c r="K115" s="12">
        <v>7066.1</v>
      </c>
      <c r="L115" s="2">
        <v>5839.75</v>
      </c>
      <c r="M115" s="2">
        <v>0</v>
      </c>
      <c r="N115" s="12">
        <v>1226.3499999999999</v>
      </c>
      <c r="O115" s="2">
        <v>0</v>
      </c>
      <c r="P115" s="2">
        <v>0</v>
      </c>
      <c r="Q115" s="2">
        <v>0</v>
      </c>
      <c r="R115" s="2">
        <v>0</v>
      </c>
      <c r="S115" s="8" t="str">
        <f t="shared" si="3"/>
        <v>33708336969003600011879</v>
      </c>
      <c r="T115" s="14" t="str">
        <f>IFERROR(VLOOKUP(S115,AFIP!$F$2:$R$999999,12,FALSE),"NO")</f>
        <v>NO</v>
      </c>
      <c r="U115" s="10" t="str">
        <f t="shared" si="4"/>
        <v>NO</v>
      </c>
      <c r="V115" s="10" t="str">
        <f>IFERROR(VLOOKUP(S115,AFIP!$F$2:$R$999999,13,FALSE),"NO")</f>
        <v>NO</v>
      </c>
      <c r="W115" s="1" t="str">
        <f t="shared" si="5"/>
        <v>NO</v>
      </c>
    </row>
    <row r="116" spans="1:23" x14ac:dyDescent="0.25">
      <c r="A116" s="1" t="s">
        <v>33</v>
      </c>
      <c r="B116" s="1" t="s">
        <v>34</v>
      </c>
      <c r="C116" s="1" t="s">
        <v>19</v>
      </c>
      <c r="D116" s="1">
        <v>33708336969</v>
      </c>
      <c r="E116" s="1" t="s">
        <v>20</v>
      </c>
      <c r="F116" s="1" t="s">
        <v>307</v>
      </c>
      <c r="G116" s="1" t="s">
        <v>53</v>
      </c>
      <c r="H116" s="1" t="s">
        <v>54</v>
      </c>
      <c r="I116" s="1" t="s">
        <v>431</v>
      </c>
      <c r="J116" s="2">
        <v>0</v>
      </c>
      <c r="K116" s="12">
        <v>33.9</v>
      </c>
      <c r="L116" s="2">
        <v>0</v>
      </c>
      <c r="M116" s="2">
        <v>33.9</v>
      </c>
      <c r="N116" s="12">
        <v>0</v>
      </c>
      <c r="O116" s="2">
        <v>0</v>
      </c>
      <c r="P116" s="2">
        <v>0</v>
      </c>
      <c r="Q116" s="2">
        <v>0</v>
      </c>
      <c r="R116" s="2">
        <v>0</v>
      </c>
      <c r="S116" s="8" t="str">
        <f t="shared" si="3"/>
        <v>33708336969003600011879</v>
      </c>
      <c r="T116" s="14" t="str">
        <f>IFERROR(VLOOKUP(S116,AFIP!$F$2:$R$999999,12,FALSE),"NO")</f>
        <v>NO</v>
      </c>
      <c r="U116" s="10" t="str">
        <f t="shared" si="4"/>
        <v>NO</v>
      </c>
      <c r="V116" s="10" t="str">
        <f>IFERROR(VLOOKUP(S116,AFIP!$F$2:$R$999999,13,FALSE),"NO")</f>
        <v>NO</v>
      </c>
      <c r="W116" s="1" t="str">
        <f t="shared" si="5"/>
        <v>NO</v>
      </c>
    </row>
    <row r="117" spans="1:23" x14ac:dyDescent="0.25">
      <c r="A117" s="1" t="s">
        <v>1036</v>
      </c>
      <c r="B117" s="1" t="s">
        <v>323</v>
      </c>
      <c r="C117" s="1" t="s">
        <v>19</v>
      </c>
      <c r="D117" s="1">
        <v>30698548289</v>
      </c>
      <c r="E117" s="1" t="s">
        <v>20</v>
      </c>
      <c r="F117" s="1" t="s">
        <v>307</v>
      </c>
      <c r="G117" s="1" t="s">
        <v>53</v>
      </c>
      <c r="H117" s="1" t="s">
        <v>54</v>
      </c>
      <c r="I117" s="1" t="s">
        <v>1075</v>
      </c>
      <c r="J117" s="2">
        <v>21</v>
      </c>
      <c r="K117" s="12">
        <v>87958.34</v>
      </c>
      <c r="L117" s="2">
        <v>72692.84</v>
      </c>
      <c r="M117" s="2">
        <v>0</v>
      </c>
      <c r="N117" s="12">
        <v>15265.5</v>
      </c>
      <c r="O117" s="2">
        <v>0</v>
      </c>
      <c r="P117" s="2">
        <v>0</v>
      </c>
      <c r="Q117" s="2">
        <v>0</v>
      </c>
      <c r="R117" s="2">
        <v>0</v>
      </c>
      <c r="S117" s="8" t="str">
        <f t="shared" si="3"/>
        <v>30698548289011500008814</v>
      </c>
      <c r="T117" s="14" t="str">
        <f>IFERROR(VLOOKUP(S117,AFIP!$F$2:$R$999999,12,FALSE),"NO")</f>
        <v>NO</v>
      </c>
      <c r="U117" s="10" t="str">
        <f t="shared" si="4"/>
        <v>NO</v>
      </c>
      <c r="V117" s="10" t="str">
        <f>IFERROR(VLOOKUP(S117,AFIP!$F$2:$R$999999,13,FALSE),"NO")</f>
        <v>NO</v>
      </c>
      <c r="W117" s="1" t="str">
        <f t="shared" si="5"/>
        <v>NO</v>
      </c>
    </row>
    <row r="118" spans="1:23" x14ac:dyDescent="0.25">
      <c r="A118" s="1" t="s">
        <v>1036</v>
      </c>
      <c r="B118" s="1" t="s">
        <v>323</v>
      </c>
      <c r="C118" s="1" t="s">
        <v>19</v>
      </c>
      <c r="D118" s="1">
        <v>30698548289</v>
      </c>
      <c r="E118" s="1" t="s">
        <v>20</v>
      </c>
      <c r="F118" s="1" t="s">
        <v>307</v>
      </c>
      <c r="G118" s="1" t="s">
        <v>53</v>
      </c>
      <c r="H118" s="1" t="s">
        <v>54</v>
      </c>
      <c r="I118" s="1" t="s">
        <v>1075</v>
      </c>
      <c r="J118" s="2">
        <v>0</v>
      </c>
      <c r="K118" s="12">
        <v>12040.93</v>
      </c>
      <c r="L118" s="2">
        <v>0</v>
      </c>
      <c r="M118" s="2">
        <v>12040.93</v>
      </c>
      <c r="N118" s="12">
        <v>0</v>
      </c>
      <c r="O118" s="2">
        <v>0</v>
      </c>
      <c r="P118" s="2">
        <v>0</v>
      </c>
      <c r="Q118" s="2">
        <v>0</v>
      </c>
      <c r="R118" s="2">
        <v>0</v>
      </c>
      <c r="S118" s="8" t="str">
        <f t="shared" si="3"/>
        <v>30698548289011500008814</v>
      </c>
      <c r="T118" s="14" t="str">
        <f>IFERROR(VLOOKUP(S118,AFIP!$F$2:$R$999999,12,FALSE),"NO")</f>
        <v>NO</v>
      </c>
      <c r="U118" s="10" t="str">
        <f t="shared" si="4"/>
        <v>NO</v>
      </c>
      <c r="V118" s="10" t="str">
        <f>IFERROR(VLOOKUP(S118,AFIP!$F$2:$R$999999,13,FALSE),"NO")</f>
        <v>NO</v>
      </c>
      <c r="W118" s="1" t="str">
        <f t="shared" si="5"/>
        <v>NO</v>
      </c>
    </row>
    <row r="119" spans="1:23" x14ac:dyDescent="0.25">
      <c r="A119" s="1" t="s">
        <v>60</v>
      </c>
      <c r="B119" s="1" t="s">
        <v>61</v>
      </c>
      <c r="C119" s="1" t="s">
        <v>19</v>
      </c>
      <c r="D119" s="1">
        <v>30715706934</v>
      </c>
      <c r="E119" s="1" t="s">
        <v>20</v>
      </c>
      <c r="F119" s="1" t="s">
        <v>249</v>
      </c>
      <c r="G119" s="1" t="s">
        <v>53</v>
      </c>
      <c r="H119" s="1" t="s">
        <v>54</v>
      </c>
      <c r="I119" s="1" t="s">
        <v>1076</v>
      </c>
      <c r="J119" s="2">
        <v>21</v>
      </c>
      <c r="K119" s="12">
        <v>57198.21</v>
      </c>
      <c r="L119" s="2">
        <v>47271.25</v>
      </c>
      <c r="M119" s="2">
        <v>0</v>
      </c>
      <c r="N119" s="12">
        <v>9926.9599999999991</v>
      </c>
      <c r="O119" s="2">
        <v>0</v>
      </c>
      <c r="P119" s="2">
        <v>0</v>
      </c>
      <c r="Q119" s="2">
        <v>0</v>
      </c>
      <c r="R119" s="2">
        <v>0</v>
      </c>
      <c r="S119" s="8" t="str">
        <f t="shared" si="3"/>
        <v>30715706934002300022485</v>
      </c>
      <c r="T119" s="14" t="str">
        <f>IFERROR(VLOOKUP(S119,AFIP!$F$2:$R$999999,12,FALSE),"NO")</f>
        <v>NO</v>
      </c>
      <c r="U119" s="10" t="str">
        <f t="shared" si="4"/>
        <v>NO</v>
      </c>
      <c r="V119" s="10" t="str">
        <f>IFERROR(VLOOKUP(S119,AFIP!$F$2:$R$999999,13,FALSE),"NO")</f>
        <v>NO</v>
      </c>
      <c r="W119" s="1" t="str">
        <f t="shared" si="5"/>
        <v>NO</v>
      </c>
    </row>
    <row r="120" spans="1:23" x14ac:dyDescent="0.25">
      <c r="A120" s="1" t="s">
        <v>60</v>
      </c>
      <c r="B120" s="1" t="s">
        <v>61</v>
      </c>
      <c r="C120" s="1" t="s">
        <v>19</v>
      </c>
      <c r="D120" s="1">
        <v>30715706934</v>
      </c>
      <c r="E120" s="1" t="s">
        <v>20</v>
      </c>
      <c r="F120" s="1" t="s">
        <v>249</v>
      </c>
      <c r="G120" s="1" t="s">
        <v>53</v>
      </c>
      <c r="H120" s="1" t="s">
        <v>54</v>
      </c>
      <c r="I120" s="1" t="s">
        <v>1076</v>
      </c>
      <c r="J120" s="2">
        <v>0</v>
      </c>
      <c r="K120" s="12">
        <v>12801.76</v>
      </c>
      <c r="L120" s="2">
        <v>0</v>
      </c>
      <c r="M120" s="2">
        <v>12801.76</v>
      </c>
      <c r="N120" s="12">
        <v>0</v>
      </c>
      <c r="O120" s="2">
        <v>0</v>
      </c>
      <c r="P120" s="2">
        <v>0</v>
      </c>
      <c r="Q120" s="2">
        <v>0</v>
      </c>
      <c r="R120" s="2">
        <v>0</v>
      </c>
      <c r="S120" s="8" t="str">
        <f t="shared" si="3"/>
        <v>30715706934002300022485</v>
      </c>
      <c r="T120" s="14" t="str">
        <f>IFERROR(VLOOKUP(S120,AFIP!$F$2:$R$999999,12,FALSE),"NO")</f>
        <v>NO</v>
      </c>
      <c r="U120" s="10" t="str">
        <f t="shared" si="4"/>
        <v>NO</v>
      </c>
      <c r="V120" s="10" t="str">
        <f>IFERROR(VLOOKUP(S120,AFIP!$F$2:$R$999999,13,FALSE),"NO")</f>
        <v>NO</v>
      </c>
      <c r="W120" s="1" t="str">
        <f t="shared" si="5"/>
        <v>NO</v>
      </c>
    </row>
    <row r="121" spans="1:23" hidden="1" x14ac:dyDescent="0.25">
      <c r="A121" s="1" t="s">
        <v>432</v>
      </c>
      <c r="B121" s="1" t="s">
        <v>433</v>
      </c>
      <c r="C121" s="1" t="s">
        <v>19</v>
      </c>
      <c r="D121" s="1">
        <v>20327963415</v>
      </c>
      <c r="E121" s="1" t="s">
        <v>20</v>
      </c>
      <c r="F121" s="1" t="s">
        <v>434</v>
      </c>
      <c r="G121" s="1" t="s">
        <v>53</v>
      </c>
      <c r="H121" s="1" t="s">
        <v>54</v>
      </c>
      <c r="I121" s="1" t="s">
        <v>435</v>
      </c>
      <c r="J121" s="2">
        <v>0</v>
      </c>
      <c r="K121" s="12">
        <v>137000</v>
      </c>
      <c r="L121" s="2">
        <v>0</v>
      </c>
      <c r="M121" s="2">
        <v>137000</v>
      </c>
      <c r="N121" s="12">
        <v>0</v>
      </c>
      <c r="O121" s="2">
        <v>0</v>
      </c>
      <c r="P121" s="2">
        <v>0</v>
      </c>
      <c r="Q121" s="2">
        <v>0</v>
      </c>
      <c r="R121" s="2">
        <v>0</v>
      </c>
      <c r="S121" s="8" t="str">
        <f t="shared" si="3"/>
        <v>20327963415000200000591</v>
      </c>
      <c r="T121" s="14">
        <f>IFERROR(VLOOKUP(S121,AFIP!$F$2:$R$999999,12,FALSE),"NO")</f>
        <v>0</v>
      </c>
      <c r="U121" s="10" t="str">
        <f t="shared" si="4"/>
        <v>SI</v>
      </c>
      <c r="V121" s="10">
        <f>IFERROR(VLOOKUP(S121,AFIP!$F$2:$R$999999,13,FALSE),"NO")</f>
        <v>137000</v>
      </c>
      <c r="W121" s="1" t="str">
        <f t="shared" si="5"/>
        <v>SI</v>
      </c>
    </row>
    <row r="122" spans="1:23" hidden="1" x14ac:dyDescent="0.25">
      <c r="A122" s="1" t="s">
        <v>74</v>
      </c>
      <c r="B122" s="1" t="s">
        <v>75</v>
      </c>
      <c r="C122" s="1" t="s">
        <v>19</v>
      </c>
      <c r="D122" s="1">
        <v>30709715395</v>
      </c>
      <c r="E122" s="1" t="s">
        <v>20</v>
      </c>
      <c r="F122" s="1" t="s">
        <v>434</v>
      </c>
      <c r="G122" s="1" t="s">
        <v>53</v>
      </c>
      <c r="H122" s="1" t="s">
        <v>54</v>
      </c>
      <c r="I122" s="1" t="s">
        <v>436</v>
      </c>
      <c r="J122" s="2">
        <v>21</v>
      </c>
      <c r="K122" s="12">
        <v>1634831</v>
      </c>
      <c r="L122" s="2">
        <v>1351100</v>
      </c>
      <c r="M122" s="2">
        <v>0</v>
      </c>
      <c r="N122" s="12">
        <v>283731</v>
      </c>
      <c r="O122" s="2">
        <v>0</v>
      </c>
      <c r="P122" s="2">
        <v>0</v>
      </c>
      <c r="Q122" s="2">
        <v>0</v>
      </c>
      <c r="R122" s="2">
        <v>0</v>
      </c>
      <c r="S122" s="8" t="str">
        <f t="shared" si="3"/>
        <v>30709715395000200010267</v>
      </c>
      <c r="T122" s="14">
        <f>IFERROR(VLOOKUP(S122,AFIP!$F$2:$R$999999,12,FALSE),"NO")</f>
        <v>283731</v>
      </c>
      <c r="U122" s="10" t="str">
        <f t="shared" si="4"/>
        <v>SI</v>
      </c>
      <c r="V122" s="10">
        <f>IFERROR(VLOOKUP(S122,AFIP!$F$2:$R$999999,13,FALSE),"NO")</f>
        <v>1634831</v>
      </c>
      <c r="W122" s="1" t="str">
        <f t="shared" si="5"/>
        <v>SI</v>
      </c>
    </row>
    <row r="123" spans="1:23" hidden="1" x14ac:dyDescent="0.25">
      <c r="A123" s="1" t="s">
        <v>74</v>
      </c>
      <c r="B123" s="1" t="s">
        <v>75</v>
      </c>
      <c r="C123" s="1" t="s">
        <v>19</v>
      </c>
      <c r="D123" s="1">
        <v>30709715395</v>
      </c>
      <c r="E123" s="1" t="s">
        <v>20</v>
      </c>
      <c r="F123" s="1" t="s">
        <v>434</v>
      </c>
      <c r="G123" s="1" t="s">
        <v>53</v>
      </c>
      <c r="H123" s="1" t="s">
        <v>54</v>
      </c>
      <c r="I123" s="1" t="s">
        <v>437</v>
      </c>
      <c r="J123" s="2">
        <v>21</v>
      </c>
      <c r="K123" s="12">
        <v>2120283</v>
      </c>
      <c r="L123" s="2">
        <v>1752300</v>
      </c>
      <c r="M123" s="2">
        <v>0</v>
      </c>
      <c r="N123" s="12">
        <v>367983</v>
      </c>
      <c r="O123" s="2">
        <v>0</v>
      </c>
      <c r="P123" s="2">
        <v>0</v>
      </c>
      <c r="Q123" s="2">
        <v>0</v>
      </c>
      <c r="R123" s="2">
        <v>0</v>
      </c>
      <c r="S123" s="8" t="str">
        <f t="shared" si="3"/>
        <v>30709715395000200010332</v>
      </c>
      <c r="T123" s="14">
        <f>IFERROR(VLOOKUP(S123,AFIP!$F$2:$R$999999,12,FALSE),"NO")</f>
        <v>367983</v>
      </c>
      <c r="U123" s="10" t="str">
        <f t="shared" si="4"/>
        <v>SI</v>
      </c>
      <c r="V123" s="10">
        <f>IFERROR(VLOOKUP(S123,AFIP!$F$2:$R$999999,13,FALSE),"NO")</f>
        <v>2120283</v>
      </c>
      <c r="W123" s="1" t="str">
        <f t="shared" si="5"/>
        <v>SI</v>
      </c>
    </row>
    <row r="124" spans="1:23" hidden="1" x14ac:dyDescent="0.25">
      <c r="A124" s="1" t="s">
        <v>74</v>
      </c>
      <c r="B124" s="1" t="s">
        <v>75</v>
      </c>
      <c r="C124" s="1" t="s">
        <v>19</v>
      </c>
      <c r="D124" s="1">
        <v>30709715395</v>
      </c>
      <c r="E124" s="1" t="s">
        <v>20</v>
      </c>
      <c r="F124" s="1" t="s">
        <v>434</v>
      </c>
      <c r="G124" s="1" t="s">
        <v>53</v>
      </c>
      <c r="H124" s="1" t="s">
        <v>54</v>
      </c>
      <c r="I124" s="1" t="s">
        <v>438</v>
      </c>
      <c r="J124" s="2">
        <v>21</v>
      </c>
      <c r="K124" s="12">
        <v>3109748.4</v>
      </c>
      <c r="L124" s="2">
        <v>2570040</v>
      </c>
      <c r="M124" s="2">
        <v>0</v>
      </c>
      <c r="N124" s="12">
        <v>539708.4</v>
      </c>
      <c r="O124" s="2">
        <v>0</v>
      </c>
      <c r="P124" s="2">
        <v>0</v>
      </c>
      <c r="Q124" s="2">
        <v>0</v>
      </c>
      <c r="R124" s="2">
        <v>0</v>
      </c>
      <c r="S124" s="8" t="str">
        <f t="shared" si="3"/>
        <v>30709715395000200010333</v>
      </c>
      <c r="T124" s="14">
        <f>IFERROR(VLOOKUP(S124,AFIP!$F$2:$R$999999,12,FALSE),"NO")</f>
        <v>539708.4</v>
      </c>
      <c r="U124" s="10" t="str">
        <f t="shared" si="4"/>
        <v>SI</v>
      </c>
      <c r="V124" s="10">
        <f>IFERROR(VLOOKUP(S124,AFIP!$F$2:$R$999999,13,FALSE),"NO")</f>
        <v>3109748.4</v>
      </c>
      <c r="W124" s="1" t="str">
        <f t="shared" si="5"/>
        <v>SI</v>
      </c>
    </row>
    <row r="125" spans="1:23" hidden="1" x14ac:dyDescent="0.25">
      <c r="A125" s="1" t="s">
        <v>131</v>
      </c>
      <c r="B125" s="1" t="s">
        <v>132</v>
      </c>
      <c r="C125" s="1" t="s">
        <v>19</v>
      </c>
      <c r="D125" s="1">
        <v>30708506237</v>
      </c>
      <c r="E125" s="1" t="s">
        <v>20</v>
      </c>
      <c r="F125" s="1" t="s">
        <v>434</v>
      </c>
      <c r="G125" s="1" t="s">
        <v>53</v>
      </c>
      <c r="H125" s="1" t="s">
        <v>54</v>
      </c>
      <c r="I125" s="1" t="s">
        <v>439</v>
      </c>
      <c r="J125" s="2">
        <v>21</v>
      </c>
      <c r="K125" s="12">
        <v>158159.04000000001</v>
      </c>
      <c r="L125" s="2">
        <v>130709.95</v>
      </c>
      <c r="M125" s="2">
        <v>0</v>
      </c>
      <c r="N125" s="12">
        <v>27449.1</v>
      </c>
      <c r="O125" s="2">
        <v>0</v>
      </c>
      <c r="P125" s="2">
        <v>0</v>
      </c>
      <c r="Q125" s="2">
        <v>-0.01</v>
      </c>
      <c r="R125" s="2">
        <v>0</v>
      </c>
      <c r="S125" s="8" t="str">
        <f t="shared" si="3"/>
        <v>30708506237000200066062</v>
      </c>
      <c r="T125" s="14">
        <f>IFERROR(VLOOKUP(S125,AFIP!$F$2:$R$999999,12,FALSE),"NO")</f>
        <v>27449.09</v>
      </c>
      <c r="U125" s="10" t="str">
        <f t="shared" si="4"/>
        <v>NO</v>
      </c>
      <c r="V125" s="10">
        <f>IFERROR(VLOOKUP(S125,AFIP!$F$2:$R$999999,13,FALSE),"NO")</f>
        <v>158159.04000000001</v>
      </c>
      <c r="W125" s="1" t="str">
        <f t="shared" si="5"/>
        <v>SI</v>
      </c>
    </row>
    <row r="126" spans="1:23" hidden="1" x14ac:dyDescent="0.25">
      <c r="A126" s="1" t="s">
        <v>1077</v>
      </c>
      <c r="B126" s="1" t="s">
        <v>258</v>
      </c>
      <c r="C126" s="1" t="s">
        <v>19</v>
      </c>
      <c r="D126" s="1">
        <v>30715919792</v>
      </c>
      <c r="E126" s="1" t="s">
        <v>20</v>
      </c>
      <c r="F126" s="1" t="s">
        <v>434</v>
      </c>
      <c r="G126" s="1" t="s">
        <v>53</v>
      </c>
      <c r="H126" s="1" t="s">
        <v>54</v>
      </c>
      <c r="I126" s="1" t="s">
        <v>1078</v>
      </c>
      <c r="J126" s="2">
        <v>21</v>
      </c>
      <c r="K126" s="12">
        <v>197846.56</v>
      </c>
      <c r="L126" s="2">
        <v>163509.54999999999</v>
      </c>
      <c r="M126" s="2">
        <v>0</v>
      </c>
      <c r="N126" s="12">
        <v>34337.01</v>
      </c>
      <c r="O126" s="2">
        <v>0</v>
      </c>
      <c r="P126" s="2">
        <v>0</v>
      </c>
      <c r="Q126" s="2">
        <v>0</v>
      </c>
      <c r="R126" s="2">
        <v>0</v>
      </c>
      <c r="S126" s="8" t="str">
        <f t="shared" si="3"/>
        <v>30715919792000300015537</v>
      </c>
      <c r="T126" s="14">
        <f>IFERROR(VLOOKUP(S126,AFIP!$F$2:$R$999999,12,FALSE),"NO")</f>
        <v>34337.01</v>
      </c>
      <c r="U126" s="10" t="str">
        <f t="shared" si="4"/>
        <v>SI</v>
      </c>
      <c r="V126" s="10">
        <f>IFERROR(VLOOKUP(S126,AFIP!$F$2:$R$999999,13,FALSE),"NO")</f>
        <v>197846.56</v>
      </c>
      <c r="W126" s="1" t="str">
        <f t="shared" si="5"/>
        <v>SI</v>
      </c>
    </row>
    <row r="127" spans="1:23" hidden="1" x14ac:dyDescent="0.25">
      <c r="A127" s="1" t="s">
        <v>66</v>
      </c>
      <c r="B127" s="1" t="s">
        <v>67</v>
      </c>
      <c r="C127" s="1" t="s">
        <v>19</v>
      </c>
      <c r="D127" s="1">
        <v>30708762373</v>
      </c>
      <c r="E127" s="1" t="s">
        <v>20</v>
      </c>
      <c r="F127" s="1" t="s">
        <v>434</v>
      </c>
      <c r="G127" s="1" t="s">
        <v>53</v>
      </c>
      <c r="H127" s="1" t="s">
        <v>54</v>
      </c>
      <c r="I127" s="1" t="s">
        <v>440</v>
      </c>
      <c r="J127" s="2">
        <v>21</v>
      </c>
      <c r="K127" s="12">
        <v>33500</v>
      </c>
      <c r="L127" s="2">
        <v>27685.95</v>
      </c>
      <c r="M127" s="2">
        <v>0</v>
      </c>
      <c r="N127" s="12">
        <v>5814.05</v>
      </c>
      <c r="O127" s="2">
        <v>0</v>
      </c>
      <c r="P127" s="2">
        <v>0</v>
      </c>
      <c r="Q127" s="2">
        <v>0</v>
      </c>
      <c r="R127" s="2">
        <v>0</v>
      </c>
      <c r="S127" s="8" t="str">
        <f t="shared" si="3"/>
        <v>30708762373000300109597</v>
      </c>
      <c r="T127" s="14">
        <f>IFERROR(VLOOKUP(S127,AFIP!$F$2:$R$999999,12,FALSE),"NO")</f>
        <v>5814.05</v>
      </c>
      <c r="U127" s="10" t="str">
        <f t="shared" si="4"/>
        <v>SI</v>
      </c>
      <c r="V127" s="10">
        <f>IFERROR(VLOOKUP(S127,AFIP!$F$2:$R$999999,13,FALSE),"NO")</f>
        <v>33500</v>
      </c>
      <c r="W127" s="1" t="str">
        <f t="shared" si="5"/>
        <v>SI</v>
      </c>
    </row>
    <row r="128" spans="1:23" hidden="1" x14ac:dyDescent="0.25">
      <c r="A128" s="1" t="s">
        <v>78</v>
      </c>
      <c r="B128" s="1" t="s">
        <v>79</v>
      </c>
      <c r="C128" s="1" t="s">
        <v>19</v>
      </c>
      <c r="D128" s="1">
        <v>27144014656</v>
      </c>
      <c r="E128" s="1" t="s">
        <v>20</v>
      </c>
      <c r="F128" s="1" t="s">
        <v>434</v>
      </c>
      <c r="G128" s="1" t="s">
        <v>53</v>
      </c>
      <c r="H128" s="1" t="s">
        <v>54</v>
      </c>
      <c r="I128" s="1" t="s">
        <v>441</v>
      </c>
      <c r="J128" s="2">
        <v>21</v>
      </c>
      <c r="K128" s="12">
        <v>1391500</v>
      </c>
      <c r="L128" s="2">
        <v>1150000</v>
      </c>
      <c r="M128" s="2">
        <v>0</v>
      </c>
      <c r="N128" s="12">
        <v>241500</v>
      </c>
      <c r="O128" s="2">
        <v>0</v>
      </c>
      <c r="P128" s="2">
        <v>0</v>
      </c>
      <c r="Q128" s="2">
        <v>0</v>
      </c>
      <c r="R128" s="2">
        <v>0</v>
      </c>
      <c r="S128" s="8" t="str">
        <f t="shared" si="3"/>
        <v>27144014656000900000032</v>
      </c>
      <c r="T128" s="14">
        <f>IFERROR(VLOOKUP(S128,AFIP!$F$2:$R$999999,12,FALSE),"NO")</f>
        <v>241500</v>
      </c>
      <c r="U128" s="10" t="str">
        <f t="shared" si="4"/>
        <v>SI</v>
      </c>
      <c r="V128" s="10">
        <f>IFERROR(VLOOKUP(S128,AFIP!$F$2:$R$999999,13,FALSE),"NO")</f>
        <v>1391500</v>
      </c>
      <c r="W128" s="1" t="str">
        <f t="shared" si="5"/>
        <v>SI</v>
      </c>
    </row>
    <row r="129" spans="1:23" hidden="1" x14ac:dyDescent="0.25">
      <c r="A129" s="1" t="s">
        <v>107</v>
      </c>
      <c r="B129" s="1" t="s">
        <v>108</v>
      </c>
      <c r="C129" s="1" t="s">
        <v>19</v>
      </c>
      <c r="D129" s="1">
        <v>27286259508</v>
      </c>
      <c r="E129" s="1" t="s">
        <v>63</v>
      </c>
      <c r="F129" s="1" t="s">
        <v>434</v>
      </c>
      <c r="G129" s="1" t="s">
        <v>53</v>
      </c>
      <c r="H129" s="1" t="s">
        <v>59</v>
      </c>
      <c r="I129" s="1" t="s">
        <v>442</v>
      </c>
      <c r="J129" s="2">
        <v>0</v>
      </c>
      <c r="K129" s="12">
        <v>1590000</v>
      </c>
      <c r="L129" s="2">
        <v>0</v>
      </c>
      <c r="M129" s="2">
        <v>1590000</v>
      </c>
      <c r="N129" s="12">
        <v>0</v>
      </c>
      <c r="O129" s="2">
        <v>0</v>
      </c>
      <c r="P129" s="2">
        <v>0</v>
      </c>
      <c r="Q129" s="2">
        <v>0</v>
      </c>
      <c r="R129" s="2">
        <v>0</v>
      </c>
      <c r="S129" s="8" t="str">
        <f t="shared" si="3"/>
        <v>27286259508000300000013</v>
      </c>
      <c r="T129" s="14">
        <f>IFERROR(VLOOKUP(S129,AFIP!$F$2:$R$999999,12,FALSE),"NO")</f>
        <v>0</v>
      </c>
      <c r="U129" s="10" t="str">
        <f t="shared" si="4"/>
        <v>SI</v>
      </c>
      <c r="V129" s="10">
        <f>IFERROR(VLOOKUP(S129,AFIP!$F$2:$R$999999,13,FALSE),"NO")</f>
        <v>1590000</v>
      </c>
      <c r="W129" s="1" t="str">
        <f t="shared" si="5"/>
        <v>SI</v>
      </c>
    </row>
    <row r="130" spans="1:23" hidden="1" x14ac:dyDescent="0.25">
      <c r="A130" s="1" t="s">
        <v>443</v>
      </c>
      <c r="B130" s="1" t="s">
        <v>444</v>
      </c>
      <c r="C130" s="1" t="s">
        <v>19</v>
      </c>
      <c r="D130" s="1">
        <v>30684717940</v>
      </c>
      <c r="E130" s="1" t="s">
        <v>20</v>
      </c>
      <c r="F130" s="1" t="s">
        <v>445</v>
      </c>
      <c r="G130" s="1" t="s">
        <v>53</v>
      </c>
      <c r="H130" s="1" t="s">
        <v>54</v>
      </c>
      <c r="I130" s="1" t="s">
        <v>446</v>
      </c>
      <c r="J130" s="2">
        <v>21</v>
      </c>
      <c r="K130" s="12">
        <v>1608646.09</v>
      </c>
      <c r="L130" s="2">
        <v>1329459.58</v>
      </c>
      <c r="M130" s="2">
        <v>0</v>
      </c>
      <c r="N130" s="12">
        <v>279186.51</v>
      </c>
      <c r="O130" s="2">
        <v>0</v>
      </c>
      <c r="P130" s="2">
        <v>0</v>
      </c>
      <c r="Q130" s="2">
        <v>0</v>
      </c>
      <c r="R130" s="2">
        <v>0</v>
      </c>
      <c r="S130" s="8" t="str">
        <f t="shared" si="3"/>
        <v>30684717940000200006014</v>
      </c>
      <c r="T130" s="14">
        <f>IFERROR(VLOOKUP(S130,AFIP!$F$2:$R$999999,12,FALSE),"NO")</f>
        <v>279186.51</v>
      </c>
      <c r="U130" s="10" t="str">
        <f t="shared" si="4"/>
        <v>SI</v>
      </c>
      <c r="V130" s="10">
        <f>IFERROR(VLOOKUP(S130,AFIP!$F$2:$R$999999,13,FALSE),"NO")</f>
        <v>1608646.09</v>
      </c>
      <c r="W130" s="1" t="str">
        <f t="shared" si="5"/>
        <v>SI</v>
      </c>
    </row>
    <row r="131" spans="1:23" hidden="1" x14ac:dyDescent="0.25">
      <c r="A131" s="1" t="s">
        <v>68</v>
      </c>
      <c r="B131" s="1" t="s">
        <v>259</v>
      </c>
      <c r="C131" s="1" t="s">
        <v>19</v>
      </c>
      <c r="D131" s="1">
        <v>30701958353</v>
      </c>
      <c r="E131" s="1" t="s">
        <v>20</v>
      </c>
      <c r="F131" s="1" t="s">
        <v>445</v>
      </c>
      <c r="G131" s="1" t="s">
        <v>53</v>
      </c>
      <c r="H131" s="1" t="s">
        <v>54</v>
      </c>
      <c r="I131" s="1" t="s">
        <v>447</v>
      </c>
      <c r="J131" s="2">
        <v>21</v>
      </c>
      <c r="K131" s="12">
        <v>273487.37</v>
      </c>
      <c r="L131" s="2">
        <v>226022.62</v>
      </c>
      <c r="M131" s="2">
        <v>0</v>
      </c>
      <c r="N131" s="12">
        <v>47464.75</v>
      </c>
      <c r="O131" s="2">
        <v>0</v>
      </c>
      <c r="P131" s="2">
        <v>0</v>
      </c>
      <c r="Q131" s="2">
        <v>0</v>
      </c>
      <c r="R131" s="2">
        <v>0</v>
      </c>
      <c r="S131" s="8" t="str">
        <f t="shared" ref="S131:S194" si="6">D131&amp;I131</f>
        <v>30701958353001300254957</v>
      </c>
      <c r="T131" s="14">
        <f>IFERROR(VLOOKUP(S131,AFIP!$F$2:$R$999999,12,FALSE),"NO")</f>
        <v>47464.75</v>
      </c>
      <c r="U131" s="10" t="str">
        <f t="shared" ref="U131:U194" si="7">IF(N131=T131,"SI","NO")</f>
        <v>SI</v>
      </c>
      <c r="V131" s="10">
        <f>IFERROR(VLOOKUP(S131,AFIP!$F$2:$R$999999,13,FALSE),"NO")</f>
        <v>273487.37</v>
      </c>
      <c r="W131" s="1" t="str">
        <f t="shared" ref="W131:W194" si="8">IF(K131=V131,"SI","NO")</f>
        <v>SI</v>
      </c>
    </row>
    <row r="132" spans="1:23" hidden="1" x14ac:dyDescent="0.25">
      <c r="A132" s="1" t="s">
        <v>268</v>
      </c>
      <c r="B132" s="1" t="s">
        <v>269</v>
      </c>
      <c r="C132" s="1" t="s">
        <v>19</v>
      </c>
      <c r="D132" s="1">
        <v>30678357150</v>
      </c>
      <c r="E132" s="1" t="s">
        <v>58</v>
      </c>
      <c r="F132" s="1" t="s">
        <v>445</v>
      </c>
      <c r="G132" s="1" t="s">
        <v>53</v>
      </c>
      <c r="H132" s="1" t="s">
        <v>59</v>
      </c>
      <c r="I132" s="1" t="s">
        <v>448</v>
      </c>
      <c r="J132" s="2">
        <v>0</v>
      </c>
      <c r="K132" s="12">
        <v>500000</v>
      </c>
      <c r="L132" s="2">
        <v>0</v>
      </c>
      <c r="M132" s="2">
        <v>500000</v>
      </c>
      <c r="N132" s="12">
        <v>0</v>
      </c>
      <c r="O132" s="2">
        <v>0</v>
      </c>
      <c r="P132" s="2">
        <v>0</v>
      </c>
      <c r="Q132" s="2">
        <v>0</v>
      </c>
      <c r="R132" s="2">
        <v>0</v>
      </c>
      <c r="S132" s="8" t="str">
        <f t="shared" si="6"/>
        <v>30678357150000300002377</v>
      </c>
      <c r="T132" s="14">
        <f>IFERROR(VLOOKUP(S132,AFIP!$F$2:$R$999999,12,FALSE),"NO")</f>
        <v>0</v>
      </c>
      <c r="U132" s="10" t="str">
        <f t="shared" si="7"/>
        <v>SI</v>
      </c>
      <c r="V132" s="10">
        <f>IFERROR(VLOOKUP(S132,AFIP!$F$2:$R$999999,13,FALSE),"NO")</f>
        <v>500000</v>
      </c>
      <c r="W132" s="1" t="str">
        <f t="shared" si="8"/>
        <v>SI</v>
      </c>
    </row>
    <row r="133" spans="1:23" hidden="1" x14ac:dyDescent="0.25">
      <c r="A133" s="1" t="s">
        <v>82</v>
      </c>
      <c r="B133" s="1" t="s">
        <v>83</v>
      </c>
      <c r="C133" s="1" t="s">
        <v>19</v>
      </c>
      <c r="D133" s="1">
        <v>30716314320</v>
      </c>
      <c r="E133" s="1" t="s">
        <v>20</v>
      </c>
      <c r="F133" s="1" t="s">
        <v>359</v>
      </c>
      <c r="G133" s="1" t="s">
        <v>53</v>
      </c>
      <c r="H133" s="1" t="s">
        <v>54</v>
      </c>
      <c r="I133" s="1" t="s">
        <v>449</v>
      </c>
      <c r="J133" s="2">
        <v>21</v>
      </c>
      <c r="K133" s="12">
        <v>1252350</v>
      </c>
      <c r="L133" s="2">
        <v>1035000</v>
      </c>
      <c r="M133" s="2">
        <v>0</v>
      </c>
      <c r="N133" s="12">
        <v>217350</v>
      </c>
      <c r="O133" s="2">
        <v>0</v>
      </c>
      <c r="P133" s="2">
        <v>0</v>
      </c>
      <c r="Q133" s="2">
        <v>0</v>
      </c>
      <c r="R133" s="2">
        <v>0</v>
      </c>
      <c r="S133" s="8" t="str">
        <f t="shared" si="6"/>
        <v>30716314320000100000866</v>
      </c>
      <c r="T133" s="14">
        <f>IFERROR(VLOOKUP(S133,AFIP!$F$2:$R$999999,12,FALSE),"NO")</f>
        <v>217350</v>
      </c>
      <c r="U133" s="10" t="str">
        <f t="shared" si="7"/>
        <v>SI</v>
      </c>
      <c r="V133" s="10">
        <f>IFERROR(VLOOKUP(S133,AFIP!$F$2:$R$999999,13,FALSE),"NO")</f>
        <v>1252350</v>
      </c>
      <c r="W133" s="1" t="str">
        <f t="shared" si="8"/>
        <v>SI</v>
      </c>
    </row>
    <row r="134" spans="1:23" hidden="1" x14ac:dyDescent="0.25">
      <c r="A134" s="1" t="s">
        <v>111</v>
      </c>
      <c r="B134" s="1" t="s">
        <v>112</v>
      </c>
      <c r="C134" s="1" t="s">
        <v>19</v>
      </c>
      <c r="D134" s="1">
        <v>30715482548</v>
      </c>
      <c r="E134" s="1" t="s">
        <v>20</v>
      </c>
      <c r="F134" s="1" t="s">
        <v>359</v>
      </c>
      <c r="G134" s="1" t="s">
        <v>53</v>
      </c>
      <c r="H134" s="1" t="s">
        <v>54</v>
      </c>
      <c r="I134" s="1" t="s">
        <v>450</v>
      </c>
      <c r="J134" s="2">
        <v>5</v>
      </c>
      <c r="K134" s="12">
        <v>472500</v>
      </c>
      <c r="L134" s="2">
        <v>450000</v>
      </c>
      <c r="M134" s="2">
        <v>0</v>
      </c>
      <c r="N134" s="12">
        <v>22500</v>
      </c>
      <c r="O134" s="2">
        <v>0</v>
      </c>
      <c r="P134" s="2">
        <v>0</v>
      </c>
      <c r="Q134" s="2">
        <v>0</v>
      </c>
      <c r="R134" s="2">
        <v>0</v>
      </c>
      <c r="S134" s="8" t="str">
        <f t="shared" si="6"/>
        <v>30715482548000100004340</v>
      </c>
      <c r="T134" s="14">
        <f>IFERROR(VLOOKUP(S134,AFIP!$F$2:$R$999999,12,FALSE),"NO")</f>
        <v>22500</v>
      </c>
      <c r="U134" s="10" t="str">
        <f t="shared" si="7"/>
        <v>SI</v>
      </c>
      <c r="V134" s="10">
        <f>IFERROR(VLOOKUP(S134,AFIP!$F$2:$R$999999,13,FALSE),"NO")</f>
        <v>472500</v>
      </c>
      <c r="W134" s="1" t="str">
        <f t="shared" si="8"/>
        <v>SI</v>
      </c>
    </row>
    <row r="135" spans="1:23" hidden="1" x14ac:dyDescent="0.25">
      <c r="A135" s="1" t="s">
        <v>228</v>
      </c>
      <c r="B135" s="1" t="s">
        <v>217</v>
      </c>
      <c r="C135" s="1" t="s">
        <v>19</v>
      </c>
      <c r="D135" s="1">
        <v>23174473919</v>
      </c>
      <c r="E135" s="1" t="s">
        <v>20</v>
      </c>
      <c r="F135" s="1" t="s">
        <v>359</v>
      </c>
      <c r="G135" s="1" t="s">
        <v>53</v>
      </c>
      <c r="H135" s="1" t="s">
        <v>54</v>
      </c>
      <c r="I135" s="1" t="s">
        <v>451</v>
      </c>
      <c r="J135" s="2">
        <v>21</v>
      </c>
      <c r="K135" s="12">
        <v>78335.47</v>
      </c>
      <c r="L135" s="2">
        <v>64740.06</v>
      </c>
      <c r="M135" s="2">
        <v>0</v>
      </c>
      <c r="N135" s="12">
        <v>13595.41</v>
      </c>
      <c r="O135" s="2">
        <v>0</v>
      </c>
      <c r="P135" s="2">
        <v>0</v>
      </c>
      <c r="Q135" s="2">
        <v>0</v>
      </c>
      <c r="R135" s="2">
        <v>0</v>
      </c>
      <c r="S135" s="8" t="str">
        <f t="shared" si="6"/>
        <v>23174473919000300010047</v>
      </c>
      <c r="T135" s="14">
        <f>IFERROR(VLOOKUP(S135,AFIP!$F$2:$R$999999,12,FALSE),"NO")</f>
        <v>13595.41</v>
      </c>
      <c r="U135" s="10" t="str">
        <f t="shared" si="7"/>
        <v>SI</v>
      </c>
      <c r="V135" s="10">
        <f>IFERROR(VLOOKUP(S135,AFIP!$F$2:$R$999999,13,FALSE),"NO")</f>
        <v>78335.47</v>
      </c>
      <c r="W135" s="1" t="str">
        <f t="shared" si="8"/>
        <v>SI</v>
      </c>
    </row>
    <row r="136" spans="1:23" hidden="1" x14ac:dyDescent="0.25">
      <c r="A136" s="1" t="s">
        <v>452</v>
      </c>
      <c r="B136" s="1" t="s">
        <v>453</v>
      </c>
      <c r="C136" s="1" t="s">
        <v>19</v>
      </c>
      <c r="D136" s="1">
        <v>30560464149</v>
      </c>
      <c r="E136" s="1" t="s">
        <v>20</v>
      </c>
      <c r="F136" s="1" t="s">
        <v>359</v>
      </c>
      <c r="G136" s="1" t="s">
        <v>53</v>
      </c>
      <c r="H136" s="1" t="s">
        <v>54</v>
      </c>
      <c r="I136" s="1" t="s">
        <v>454</v>
      </c>
      <c r="J136" s="2">
        <v>21</v>
      </c>
      <c r="K136" s="12">
        <v>2763020.43</v>
      </c>
      <c r="L136" s="2">
        <v>2283487.96</v>
      </c>
      <c r="M136" s="2">
        <v>0</v>
      </c>
      <c r="N136" s="12">
        <v>479532.48</v>
      </c>
      <c r="O136" s="2">
        <v>0</v>
      </c>
      <c r="P136" s="2">
        <v>0</v>
      </c>
      <c r="Q136" s="2">
        <v>-0.01</v>
      </c>
      <c r="R136" s="2">
        <v>0</v>
      </c>
      <c r="S136" s="8" t="str">
        <f t="shared" si="6"/>
        <v>30560464149000300015033</v>
      </c>
      <c r="T136" s="14">
        <f>IFERROR(VLOOKUP(S136,AFIP!$F$2:$R$999999,12,FALSE),"NO")</f>
        <v>479532.47</v>
      </c>
      <c r="U136" s="10" t="str">
        <f t="shared" si="7"/>
        <v>NO</v>
      </c>
      <c r="V136" s="10">
        <f>IFERROR(VLOOKUP(S136,AFIP!$F$2:$R$999999,13,FALSE),"NO")</f>
        <v>2763020.43</v>
      </c>
      <c r="W136" s="1" t="str">
        <f t="shared" si="8"/>
        <v>SI</v>
      </c>
    </row>
    <row r="137" spans="1:23" hidden="1" x14ac:dyDescent="0.25">
      <c r="A137" s="1" t="s">
        <v>452</v>
      </c>
      <c r="B137" s="1" t="s">
        <v>453</v>
      </c>
      <c r="C137" s="1" t="s">
        <v>19</v>
      </c>
      <c r="D137" s="1">
        <v>30560464149</v>
      </c>
      <c r="E137" s="1" t="s">
        <v>20</v>
      </c>
      <c r="F137" s="1" t="s">
        <v>359</v>
      </c>
      <c r="G137" s="1" t="s">
        <v>53</v>
      </c>
      <c r="H137" s="1" t="s">
        <v>54</v>
      </c>
      <c r="I137" s="1" t="s">
        <v>455</v>
      </c>
      <c r="J137" s="2">
        <v>21</v>
      </c>
      <c r="K137" s="12">
        <v>824271.65</v>
      </c>
      <c r="L137" s="2">
        <v>681216.24</v>
      </c>
      <c r="M137" s="2">
        <v>0</v>
      </c>
      <c r="N137" s="12">
        <v>143055.41</v>
      </c>
      <c r="O137" s="2">
        <v>0</v>
      </c>
      <c r="P137" s="2">
        <v>0</v>
      </c>
      <c r="Q137" s="2">
        <v>0</v>
      </c>
      <c r="R137" s="2">
        <v>0</v>
      </c>
      <c r="S137" s="8" t="str">
        <f t="shared" si="6"/>
        <v>30560464149000300015034</v>
      </c>
      <c r="T137" s="14">
        <f>IFERROR(VLOOKUP(S137,AFIP!$F$2:$R$999999,12,FALSE),"NO")</f>
        <v>143055.41</v>
      </c>
      <c r="U137" s="10" t="str">
        <f t="shared" si="7"/>
        <v>SI</v>
      </c>
      <c r="V137" s="10">
        <f>IFERROR(VLOOKUP(S137,AFIP!$F$2:$R$999999,13,FALSE),"NO")</f>
        <v>824271.65</v>
      </c>
      <c r="W137" s="1" t="str">
        <f t="shared" si="8"/>
        <v>SI</v>
      </c>
    </row>
    <row r="138" spans="1:23" hidden="1" x14ac:dyDescent="0.25">
      <c r="A138" s="1" t="s">
        <v>1034</v>
      </c>
      <c r="B138" s="1" t="s">
        <v>250</v>
      </c>
      <c r="C138" s="1" t="s">
        <v>19</v>
      </c>
      <c r="D138" s="1">
        <v>20177699889</v>
      </c>
      <c r="E138" s="1" t="s">
        <v>20</v>
      </c>
      <c r="F138" s="1" t="s">
        <v>359</v>
      </c>
      <c r="G138" s="1" t="s">
        <v>53</v>
      </c>
      <c r="H138" s="1" t="s">
        <v>54</v>
      </c>
      <c r="I138" s="1" t="s">
        <v>1079</v>
      </c>
      <c r="J138" s="2">
        <v>21</v>
      </c>
      <c r="K138" s="12">
        <v>44000</v>
      </c>
      <c r="L138" s="2">
        <v>36363.64</v>
      </c>
      <c r="M138" s="2">
        <v>0</v>
      </c>
      <c r="N138" s="12">
        <v>7636.36</v>
      </c>
      <c r="O138" s="2">
        <v>0</v>
      </c>
      <c r="P138" s="2">
        <v>0</v>
      </c>
      <c r="Q138" s="2">
        <v>0</v>
      </c>
      <c r="R138" s="2">
        <v>0</v>
      </c>
      <c r="S138" s="8" t="str">
        <f t="shared" si="6"/>
        <v>20177699889000500000500</v>
      </c>
      <c r="T138" s="14">
        <f>IFERROR(VLOOKUP(S138,AFIP!$F$2:$R$999999,12,FALSE),"NO")</f>
        <v>7636.36</v>
      </c>
      <c r="U138" s="10" t="str">
        <f t="shared" si="7"/>
        <v>SI</v>
      </c>
      <c r="V138" s="10">
        <f>IFERROR(VLOOKUP(S138,AFIP!$F$2:$R$999999,13,FALSE),"NO")</f>
        <v>44000</v>
      </c>
      <c r="W138" s="1" t="str">
        <f t="shared" si="8"/>
        <v>SI</v>
      </c>
    </row>
    <row r="139" spans="1:23" hidden="1" x14ac:dyDescent="0.25">
      <c r="A139" s="1" t="s">
        <v>25</v>
      </c>
      <c r="B139" s="1" t="s">
        <v>26</v>
      </c>
      <c r="C139" s="1" t="s">
        <v>19</v>
      </c>
      <c r="D139" s="1">
        <v>30707509976</v>
      </c>
      <c r="E139" s="1" t="s">
        <v>20</v>
      </c>
      <c r="F139" s="1" t="s">
        <v>359</v>
      </c>
      <c r="G139" s="1" t="s">
        <v>53</v>
      </c>
      <c r="H139" s="1" t="s">
        <v>54</v>
      </c>
      <c r="I139" s="1" t="s">
        <v>456</v>
      </c>
      <c r="J139" s="2">
        <v>21</v>
      </c>
      <c r="K139" s="12">
        <v>4983745.16</v>
      </c>
      <c r="L139" s="2">
        <v>4118797.65</v>
      </c>
      <c r="M139" s="2">
        <v>0</v>
      </c>
      <c r="N139" s="12">
        <v>864947.51</v>
      </c>
      <c r="O139" s="2">
        <v>0</v>
      </c>
      <c r="P139" s="2">
        <v>0</v>
      </c>
      <c r="Q139" s="2">
        <v>0</v>
      </c>
      <c r="R139" s="2">
        <v>0</v>
      </c>
      <c r="S139" s="8" t="str">
        <f t="shared" si="6"/>
        <v>30707509976000500013081</v>
      </c>
      <c r="T139" s="14">
        <f>IFERROR(VLOOKUP(S139,AFIP!$F$2:$R$999999,12,FALSE),"NO")</f>
        <v>864947.51</v>
      </c>
      <c r="U139" s="10" t="str">
        <f t="shared" si="7"/>
        <v>SI</v>
      </c>
      <c r="V139" s="10">
        <f>IFERROR(VLOOKUP(S139,AFIP!$F$2:$R$999999,13,FALSE),"NO")</f>
        <v>4983745.16</v>
      </c>
      <c r="W139" s="1" t="str">
        <f t="shared" si="8"/>
        <v>SI</v>
      </c>
    </row>
    <row r="140" spans="1:23" hidden="1" x14ac:dyDescent="0.25">
      <c r="A140" s="1" t="s">
        <v>25</v>
      </c>
      <c r="B140" s="1" t="s">
        <v>26</v>
      </c>
      <c r="C140" s="1" t="s">
        <v>19</v>
      </c>
      <c r="D140" s="1">
        <v>30707509976</v>
      </c>
      <c r="E140" s="1" t="s">
        <v>20</v>
      </c>
      <c r="F140" s="1" t="s">
        <v>359</v>
      </c>
      <c r="G140" s="1" t="s">
        <v>53</v>
      </c>
      <c r="H140" s="1" t="s">
        <v>54</v>
      </c>
      <c r="I140" s="1" t="s">
        <v>457</v>
      </c>
      <c r="J140" s="2">
        <v>21</v>
      </c>
      <c r="K140" s="12">
        <v>2113975.9500000002</v>
      </c>
      <c r="L140" s="2">
        <v>1747087.56</v>
      </c>
      <c r="M140" s="2">
        <v>0</v>
      </c>
      <c r="N140" s="12">
        <v>366888.39</v>
      </c>
      <c r="O140" s="2">
        <v>0</v>
      </c>
      <c r="P140" s="2">
        <v>0</v>
      </c>
      <c r="Q140" s="2">
        <v>0</v>
      </c>
      <c r="R140" s="2">
        <v>0</v>
      </c>
      <c r="S140" s="8" t="str">
        <f t="shared" si="6"/>
        <v>30707509976000500013082</v>
      </c>
      <c r="T140" s="14">
        <f>IFERROR(VLOOKUP(S140,AFIP!$F$2:$R$999999,12,FALSE),"NO")</f>
        <v>366888.39</v>
      </c>
      <c r="U140" s="10" t="str">
        <f t="shared" si="7"/>
        <v>SI</v>
      </c>
      <c r="V140" s="10">
        <f>IFERROR(VLOOKUP(S140,AFIP!$F$2:$R$999999,13,FALSE),"NO")</f>
        <v>2113975.9500000002</v>
      </c>
      <c r="W140" s="1" t="str">
        <f t="shared" si="8"/>
        <v>SI</v>
      </c>
    </row>
    <row r="141" spans="1:23" hidden="1" x14ac:dyDescent="0.25">
      <c r="A141" s="1" t="s">
        <v>458</v>
      </c>
      <c r="B141" s="1" t="s">
        <v>459</v>
      </c>
      <c r="C141" s="1" t="s">
        <v>19</v>
      </c>
      <c r="D141" s="1">
        <v>20236223052</v>
      </c>
      <c r="E141" s="1" t="s">
        <v>20</v>
      </c>
      <c r="F141" s="1" t="s">
        <v>359</v>
      </c>
      <c r="G141" s="1" t="s">
        <v>53</v>
      </c>
      <c r="H141" s="1" t="s">
        <v>54</v>
      </c>
      <c r="I141" s="1" t="s">
        <v>460</v>
      </c>
      <c r="J141" s="2">
        <v>21</v>
      </c>
      <c r="K141" s="12">
        <v>26000</v>
      </c>
      <c r="L141" s="2">
        <v>21487.599999999999</v>
      </c>
      <c r="M141" s="2">
        <v>0</v>
      </c>
      <c r="N141" s="12">
        <v>4512.3999999999996</v>
      </c>
      <c r="O141" s="2">
        <v>0</v>
      </c>
      <c r="P141" s="2">
        <v>0</v>
      </c>
      <c r="Q141" s="2">
        <v>0</v>
      </c>
      <c r="R141" s="2">
        <v>0</v>
      </c>
      <c r="S141" s="8" t="str">
        <f t="shared" si="6"/>
        <v>20236223052000600000158</v>
      </c>
      <c r="T141" s="14">
        <f>IFERROR(VLOOKUP(S141,AFIP!$F$2:$R$999999,12,FALSE),"NO")</f>
        <v>4512.3999999999996</v>
      </c>
      <c r="U141" s="10" t="str">
        <f t="shared" si="7"/>
        <v>SI</v>
      </c>
      <c r="V141" s="10">
        <f>IFERROR(VLOOKUP(S141,AFIP!$F$2:$R$999999,13,FALSE),"NO")</f>
        <v>26000</v>
      </c>
      <c r="W141" s="1" t="str">
        <f t="shared" si="8"/>
        <v>SI</v>
      </c>
    </row>
    <row r="142" spans="1:23" hidden="1" x14ac:dyDescent="0.25">
      <c r="A142" s="1" t="s">
        <v>229</v>
      </c>
      <c r="B142" s="1" t="s">
        <v>230</v>
      </c>
      <c r="C142" s="1" t="s">
        <v>19</v>
      </c>
      <c r="D142" s="1">
        <v>20335001932</v>
      </c>
      <c r="E142" s="1" t="s">
        <v>20</v>
      </c>
      <c r="F142" s="1" t="s">
        <v>359</v>
      </c>
      <c r="G142" s="1" t="s">
        <v>53</v>
      </c>
      <c r="H142" s="1" t="s">
        <v>54</v>
      </c>
      <c r="I142" s="1" t="s">
        <v>461</v>
      </c>
      <c r="J142" s="2">
        <v>21</v>
      </c>
      <c r="K142" s="12">
        <v>40600</v>
      </c>
      <c r="L142" s="2">
        <v>33553.72</v>
      </c>
      <c r="M142" s="2">
        <v>0</v>
      </c>
      <c r="N142" s="12">
        <v>7046.28</v>
      </c>
      <c r="O142" s="2">
        <v>0</v>
      </c>
      <c r="P142" s="2">
        <v>0</v>
      </c>
      <c r="Q142" s="2">
        <v>0</v>
      </c>
      <c r="R142" s="2">
        <v>0</v>
      </c>
      <c r="S142" s="8" t="str">
        <f t="shared" si="6"/>
        <v>20335001932000900000997</v>
      </c>
      <c r="T142" s="14">
        <f>IFERROR(VLOOKUP(S142,AFIP!$F$2:$R$999999,12,FALSE),"NO")</f>
        <v>7046.28</v>
      </c>
      <c r="U142" s="10" t="str">
        <f t="shared" si="7"/>
        <v>SI</v>
      </c>
      <c r="V142" s="10">
        <f>IFERROR(VLOOKUP(S142,AFIP!$F$2:$R$999999,13,FALSE),"NO")</f>
        <v>40600</v>
      </c>
      <c r="W142" s="1" t="str">
        <f t="shared" si="8"/>
        <v>SI</v>
      </c>
    </row>
    <row r="143" spans="1:23" x14ac:dyDescent="0.25">
      <c r="A143" s="1" t="s">
        <v>33</v>
      </c>
      <c r="B143" s="1" t="s">
        <v>34</v>
      </c>
      <c r="C143" s="1" t="s">
        <v>19</v>
      </c>
      <c r="D143" s="1">
        <v>33708336969</v>
      </c>
      <c r="E143" s="1" t="s">
        <v>20</v>
      </c>
      <c r="F143" s="1" t="s">
        <v>359</v>
      </c>
      <c r="G143" s="1" t="s">
        <v>53</v>
      </c>
      <c r="H143" s="1" t="s">
        <v>54</v>
      </c>
      <c r="I143" s="1" t="s">
        <v>462</v>
      </c>
      <c r="J143" s="2">
        <v>21</v>
      </c>
      <c r="K143" s="12">
        <v>6500</v>
      </c>
      <c r="L143" s="2">
        <v>5371.9</v>
      </c>
      <c r="M143" s="2">
        <v>0</v>
      </c>
      <c r="N143" s="12">
        <v>1128.0999999999999</v>
      </c>
      <c r="O143" s="2">
        <v>0</v>
      </c>
      <c r="P143" s="2">
        <v>0</v>
      </c>
      <c r="Q143" s="2">
        <v>0</v>
      </c>
      <c r="R143" s="2">
        <v>0</v>
      </c>
      <c r="S143" s="8" t="str">
        <f t="shared" si="6"/>
        <v>33708336969003600011941</v>
      </c>
      <c r="T143" s="14" t="str">
        <f>IFERROR(VLOOKUP(S143,AFIP!$F$2:$R$999999,12,FALSE),"NO")</f>
        <v>NO</v>
      </c>
      <c r="U143" s="10" t="str">
        <f t="shared" si="7"/>
        <v>NO</v>
      </c>
      <c r="V143" s="10" t="str">
        <f>IFERROR(VLOOKUP(S143,AFIP!$F$2:$R$999999,13,FALSE),"NO")</f>
        <v>NO</v>
      </c>
      <c r="W143" s="1" t="str">
        <f t="shared" si="8"/>
        <v>NO</v>
      </c>
    </row>
    <row r="144" spans="1:23" hidden="1" x14ac:dyDescent="0.25">
      <c r="A144" s="1" t="s">
        <v>148</v>
      </c>
      <c r="B144" s="1" t="s">
        <v>149</v>
      </c>
      <c r="C144" s="1" t="s">
        <v>19</v>
      </c>
      <c r="D144" s="1">
        <v>30692402363</v>
      </c>
      <c r="E144" s="1" t="s">
        <v>20</v>
      </c>
      <c r="F144" s="1" t="s">
        <v>359</v>
      </c>
      <c r="G144" s="1" t="s">
        <v>53</v>
      </c>
      <c r="H144" s="1" t="s">
        <v>54</v>
      </c>
      <c r="I144" s="1" t="s">
        <v>463</v>
      </c>
      <c r="J144" s="2">
        <v>21</v>
      </c>
      <c r="K144" s="12">
        <v>83350</v>
      </c>
      <c r="L144" s="2">
        <v>68884.3</v>
      </c>
      <c r="M144" s="2">
        <v>0</v>
      </c>
      <c r="N144" s="12">
        <v>14465.7</v>
      </c>
      <c r="O144" s="2">
        <v>0</v>
      </c>
      <c r="P144" s="2">
        <v>0</v>
      </c>
      <c r="Q144" s="2">
        <v>0</v>
      </c>
      <c r="R144" s="2">
        <v>0</v>
      </c>
      <c r="S144" s="8" t="str">
        <f t="shared" si="6"/>
        <v>30692402363004300011134</v>
      </c>
      <c r="T144" s="14">
        <f>IFERROR(VLOOKUP(S144,AFIP!$F$2:$R$999999,12,FALSE),"NO")</f>
        <v>14465.7</v>
      </c>
      <c r="U144" s="10" t="str">
        <f t="shared" si="7"/>
        <v>SI</v>
      </c>
      <c r="V144" s="10">
        <f>IFERROR(VLOOKUP(S144,AFIP!$F$2:$R$999999,13,FALSE),"NO")</f>
        <v>83350</v>
      </c>
      <c r="W144" s="1" t="str">
        <f t="shared" si="8"/>
        <v>SI</v>
      </c>
    </row>
    <row r="145" spans="1:23" hidden="1" x14ac:dyDescent="0.25">
      <c r="A145" s="1" t="s">
        <v>31</v>
      </c>
      <c r="B145" s="1" t="s">
        <v>32</v>
      </c>
      <c r="C145" s="1" t="s">
        <v>19</v>
      </c>
      <c r="D145" s="1">
        <v>30500529071</v>
      </c>
      <c r="E145" s="1" t="s">
        <v>20</v>
      </c>
      <c r="F145" s="1" t="s">
        <v>359</v>
      </c>
      <c r="G145" s="1" t="s">
        <v>53</v>
      </c>
      <c r="H145" s="1" t="s">
        <v>54</v>
      </c>
      <c r="I145" s="1" t="s">
        <v>464</v>
      </c>
      <c r="J145" s="2">
        <v>21</v>
      </c>
      <c r="K145" s="12">
        <v>13635092.189999999</v>
      </c>
      <c r="L145" s="2">
        <v>10778729</v>
      </c>
      <c r="M145" s="2">
        <v>0</v>
      </c>
      <c r="N145" s="12">
        <v>2263533.09</v>
      </c>
      <c r="O145" s="2">
        <v>323361.87</v>
      </c>
      <c r="P145" s="2">
        <v>269468.23</v>
      </c>
      <c r="Q145" s="2">
        <v>0</v>
      </c>
      <c r="R145" s="2">
        <v>0</v>
      </c>
      <c r="S145" s="8" t="str">
        <f t="shared" si="6"/>
        <v>30500529071021500100298</v>
      </c>
      <c r="T145" s="14">
        <f>IFERROR(VLOOKUP(S145,AFIP!$F$2:$R$999999,12,FALSE),"NO")</f>
        <v>2263533.1</v>
      </c>
      <c r="U145" s="10" t="str">
        <f t="shared" si="7"/>
        <v>NO</v>
      </c>
      <c r="V145" s="10">
        <f>IFERROR(VLOOKUP(S145,AFIP!$F$2:$R$999999,13,FALSE),"NO")</f>
        <v>13635092.189999999</v>
      </c>
      <c r="W145" s="1" t="str">
        <f t="shared" si="8"/>
        <v>SI</v>
      </c>
    </row>
    <row r="146" spans="1:23" hidden="1" x14ac:dyDescent="0.25">
      <c r="A146" s="1" t="s">
        <v>251</v>
      </c>
      <c r="B146" s="1" t="s">
        <v>252</v>
      </c>
      <c r="C146" s="1" t="s">
        <v>19</v>
      </c>
      <c r="D146" s="1">
        <v>30646512952</v>
      </c>
      <c r="E146" s="1" t="s">
        <v>20</v>
      </c>
      <c r="F146" s="1" t="s">
        <v>359</v>
      </c>
      <c r="G146" s="1" t="s">
        <v>53</v>
      </c>
      <c r="H146" s="1" t="s">
        <v>54</v>
      </c>
      <c r="I146" s="1" t="s">
        <v>465</v>
      </c>
      <c r="J146" s="2">
        <v>21</v>
      </c>
      <c r="K146" s="12">
        <v>10636527.859999999</v>
      </c>
      <c r="L146" s="2">
        <v>8790518.8900000006</v>
      </c>
      <c r="M146" s="2">
        <v>0</v>
      </c>
      <c r="N146" s="12">
        <v>1846008.97</v>
      </c>
      <c r="O146" s="2">
        <v>0</v>
      </c>
      <c r="P146" s="2">
        <v>0</v>
      </c>
      <c r="Q146" s="2">
        <v>0</v>
      </c>
      <c r="R146" s="2">
        <v>0</v>
      </c>
      <c r="S146" s="8" t="str">
        <f t="shared" si="6"/>
        <v>30646512952033300124609</v>
      </c>
      <c r="T146" s="14">
        <f>IFERROR(VLOOKUP(S146,AFIP!$F$2:$R$999999,12,FALSE),"NO")</f>
        <v>1846008.97</v>
      </c>
      <c r="U146" s="10" t="str">
        <f t="shared" si="7"/>
        <v>SI</v>
      </c>
      <c r="V146" s="10">
        <f>IFERROR(VLOOKUP(S146,AFIP!$F$2:$R$999999,13,FALSE),"NO")</f>
        <v>10636527.859999999</v>
      </c>
      <c r="W146" s="1" t="str">
        <f t="shared" si="8"/>
        <v>SI</v>
      </c>
    </row>
    <row r="147" spans="1:23" x14ac:dyDescent="0.25">
      <c r="A147" s="1" t="s">
        <v>466</v>
      </c>
      <c r="B147" s="1" t="s">
        <v>467</v>
      </c>
      <c r="C147" s="1" t="s">
        <v>19</v>
      </c>
      <c r="D147" s="1">
        <v>30643922157</v>
      </c>
      <c r="E147" s="1" t="s">
        <v>20</v>
      </c>
      <c r="F147" s="1" t="s">
        <v>359</v>
      </c>
      <c r="G147" s="1" t="s">
        <v>53</v>
      </c>
      <c r="H147" s="1" t="s">
        <v>54</v>
      </c>
      <c r="I147" s="1" t="s">
        <v>468</v>
      </c>
      <c r="J147" s="2">
        <v>21</v>
      </c>
      <c r="K147" s="12">
        <v>17000</v>
      </c>
      <c r="L147" s="2">
        <v>14049.59</v>
      </c>
      <c r="M147" s="2">
        <v>0</v>
      </c>
      <c r="N147" s="12">
        <v>2950.41</v>
      </c>
      <c r="O147" s="2">
        <v>0</v>
      </c>
      <c r="P147" s="2">
        <v>0</v>
      </c>
      <c r="Q147" s="2">
        <v>0</v>
      </c>
      <c r="R147" s="2">
        <v>0</v>
      </c>
      <c r="S147" s="8" t="str">
        <f t="shared" si="6"/>
        <v>30643922157786600001558</v>
      </c>
      <c r="T147" s="14" t="str">
        <f>IFERROR(VLOOKUP(S147,AFIP!$F$2:$R$999999,12,FALSE),"NO")</f>
        <v>NO</v>
      </c>
      <c r="U147" s="10" t="str">
        <f t="shared" si="7"/>
        <v>NO</v>
      </c>
      <c r="V147" s="10" t="str">
        <f>IFERROR(VLOOKUP(S147,AFIP!$F$2:$R$999999,13,FALSE),"NO")</f>
        <v>NO</v>
      </c>
      <c r="W147" s="1" t="str">
        <f t="shared" si="8"/>
        <v>NO</v>
      </c>
    </row>
    <row r="148" spans="1:23" hidden="1" x14ac:dyDescent="0.25">
      <c r="A148" s="1" t="s">
        <v>260</v>
      </c>
      <c r="B148" s="1" t="s">
        <v>261</v>
      </c>
      <c r="C148" s="1" t="s">
        <v>19</v>
      </c>
      <c r="D148" s="1">
        <v>27301695689</v>
      </c>
      <c r="E148" s="1" t="s">
        <v>63</v>
      </c>
      <c r="F148" s="1" t="s">
        <v>359</v>
      </c>
      <c r="G148" s="1" t="s">
        <v>53</v>
      </c>
      <c r="H148" s="1" t="s">
        <v>59</v>
      </c>
      <c r="I148" s="1" t="s">
        <v>469</v>
      </c>
      <c r="J148" s="2">
        <v>0</v>
      </c>
      <c r="K148" s="12">
        <v>1625000</v>
      </c>
      <c r="L148" s="2">
        <v>0</v>
      </c>
      <c r="M148" s="2">
        <v>1625000</v>
      </c>
      <c r="N148" s="12">
        <v>0</v>
      </c>
      <c r="O148" s="2">
        <v>0</v>
      </c>
      <c r="P148" s="2">
        <v>0</v>
      </c>
      <c r="Q148" s="2">
        <v>0</v>
      </c>
      <c r="R148" s="2">
        <v>0</v>
      </c>
      <c r="S148" s="8" t="str">
        <f t="shared" si="6"/>
        <v>27301695689000100000098</v>
      </c>
      <c r="T148" s="14">
        <f>IFERROR(VLOOKUP(S148,AFIP!$F$2:$R$999999,12,FALSE),"NO")</f>
        <v>0</v>
      </c>
      <c r="U148" s="10" t="str">
        <f t="shared" si="7"/>
        <v>SI</v>
      </c>
      <c r="V148" s="10">
        <f>IFERROR(VLOOKUP(S148,AFIP!$F$2:$R$999999,13,FALSE),"NO")</f>
        <v>1625000</v>
      </c>
      <c r="W148" s="1" t="str">
        <f t="shared" si="8"/>
        <v>SI</v>
      </c>
    </row>
    <row r="149" spans="1:23" hidden="1" x14ac:dyDescent="0.25">
      <c r="A149" s="1" t="s">
        <v>262</v>
      </c>
      <c r="B149" s="1" t="s">
        <v>69</v>
      </c>
      <c r="C149" s="1" t="s">
        <v>19</v>
      </c>
      <c r="D149" s="1">
        <v>20177222802</v>
      </c>
      <c r="E149" s="1" t="s">
        <v>63</v>
      </c>
      <c r="F149" s="1" t="s">
        <v>359</v>
      </c>
      <c r="G149" s="1" t="s">
        <v>53</v>
      </c>
      <c r="H149" s="1" t="s">
        <v>59</v>
      </c>
      <c r="I149" s="1" t="s">
        <v>470</v>
      </c>
      <c r="J149" s="2">
        <v>0</v>
      </c>
      <c r="K149" s="12">
        <v>1212100</v>
      </c>
      <c r="L149" s="2">
        <v>0</v>
      </c>
      <c r="M149" s="2">
        <v>1212100</v>
      </c>
      <c r="N149" s="12">
        <v>0</v>
      </c>
      <c r="O149" s="2">
        <v>0</v>
      </c>
      <c r="P149" s="2">
        <v>0</v>
      </c>
      <c r="Q149" s="2">
        <v>0</v>
      </c>
      <c r="R149" s="2">
        <v>0</v>
      </c>
      <c r="S149" s="8" t="str">
        <f t="shared" si="6"/>
        <v>20177222802000100000119</v>
      </c>
      <c r="T149" s="14">
        <f>IFERROR(VLOOKUP(S149,AFIP!$F$2:$R$999999,12,FALSE),"NO")</f>
        <v>0</v>
      </c>
      <c r="U149" s="10" t="str">
        <f t="shared" si="7"/>
        <v>SI</v>
      </c>
      <c r="V149" s="10">
        <f>IFERROR(VLOOKUP(S149,AFIP!$F$2:$R$999999,13,FALSE),"NO")</f>
        <v>1212100</v>
      </c>
      <c r="W149" s="1" t="str">
        <f t="shared" si="8"/>
        <v>SI</v>
      </c>
    </row>
    <row r="150" spans="1:23" hidden="1" x14ac:dyDescent="0.25">
      <c r="A150" s="1" t="s">
        <v>93</v>
      </c>
      <c r="B150" s="1" t="s">
        <v>94</v>
      </c>
      <c r="C150" s="1" t="s">
        <v>19</v>
      </c>
      <c r="D150" s="1">
        <v>27181583644</v>
      </c>
      <c r="E150" s="1" t="s">
        <v>63</v>
      </c>
      <c r="F150" s="1" t="s">
        <v>359</v>
      </c>
      <c r="G150" s="1" t="s">
        <v>53</v>
      </c>
      <c r="H150" s="1" t="s">
        <v>59</v>
      </c>
      <c r="I150" s="1" t="s">
        <v>471</v>
      </c>
      <c r="J150" s="2">
        <v>0</v>
      </c>
      <c r="K150" s="12">
        <v>467000</v>
      </c>
      <c r="L150" s="2">
        <v>0</v>
      </c>
      <c r="M150" s="2">
        <v>467000</v>
      </c>
      <c r="N150" s="12">
        <v>0</v>
      </c>
      <c r="O150" s="2">
        <v>0</v>
      </c>
      <c r="P150" s="2">
        <v>0</v>
      </c>
      <c r="Q150" s="2">
        <v>0</v>
      </c>
      <c r="R150" s="2">
        <v>0</v>
      </c>
      <c r="S150" s="8" t="str">
        <f t="shared" si="6"/>
        <v>27181583644000100000199</v>
      </c>
      <c r="T150" s="14">
        <f>IFERROR(VLOOKUP(S150,AFIP!$F$2:$R$999999,12,FALSE),"NO")</f>
        <v>0</v>
      </c>
      <c r="U150" s="10" t="str">
        <f t="shared" si="7"/>
        <v>SI</v>
      </c>
      <c r="V150" s="10">
        <f>IFERROR(VLOOKUP(S150,AFIP!$F$2:$R$999999,13,FALSE),"NO")</f>
        <v>467000</v>
      </c>
      <c r="W150" s="1" t="str">
        <f t="shared" si="8"/>
        <v>SI</v>
      </c>
    </row>
    <row r="151" spans="1:23" hidden="1" x14ac:dyDescent="0.25">
      <c r="A151" s="1" t="s">
        <v>265</v>
      </c>
      <c r="B151" s="1" t="s">
        <v>266</v>
      </c>
      <c r="C151" s="1" t="s">
        <v>19</v>
      </c>
      <c r="D151" s="1">
        <v>23292606389</v>
      </c>
      <c r="E151" s="1" t="s">
        <v>63</v>
      </c>
      <c r="F151" s="1" t="s">
        <v>359</v>
      </c>
      <c r="G151" s="1" t="s">
        <v>53</v>
      </c>
      <c r="H151" s="1" t="s">
        <v>59</v>
      </c>
      <c r="I151" s="1" t="s">
        <v>472</v>
      </c>
      <c r="J151" s="2">
        <v>0</v>
      </c>
      <c r="K151" s="12">
        <v>120000</v>
      </c>
      <c r="L151" s="2">
        <v>0</v>
      </c>
      <c r="M151" s="2">
        <v>120000</v>
      </c>
      <c r="N151" s="12">
        <v>0</v>
      </c>
      <c r="O151" s="2">
        <v>0</v>
      </c>
      <c r="P151" s="2">
        <v>0</v>
      </c>
      <c r="Q151" s="2">
        <v>0</v>
      </c>
      <c r="R151" s="2">
        <v>0</v>
      </c>
      <c r="S151" s="8" t="str">
        <f t="shared" si="6"/>
        <v>23292606389000300000143</v>
      </c>
      <c r="T151" s="14">
        <f>IFERROR(VLOOKUP(S151,AFIP!$F$2:$R$999999,12,FALSE),"NO")</f>
        <v>0</v>
      </c>
      <c r="U151" s="10" t="str">
        <f t="shared" si="7"/>
        <v>SI</v>
      </c>
      <c r="V151" s="10">
        <f>IFERROR(VLOOKUP(S151,AFIP!$F$2:$R$999999,13,FALSE),"NO")</f>
        <v>120000</v>
      </c>
      <c r="W151" s="1" t="str">
        <f t="shared" si="8"/>
        <v>SI</v>
      </c>
    </row>
    <row r="152" spans="1:23" hidden="1" x14ac:dyDescent="0.25">
      <c r="A152" s="1" t="s">
        <v>473</v>
      </c>
      <c r="B152" s="1" t="s">
        <v>474</v>
      </c>
      <c r="C152" s="1" t="s">
        <v>19</v>
      </c>
      <c r="D152" s="1">
        <v>20314191294</v>
      </c>
      <c r="E152" s="1" t="s">
        <v>63</v>
      </c>
      <c r="F152" s="1" t="s">
        <v>359</v>
      </c>
      <c r="G152" s="1" t="s">
        <v>53</v>
      </c>
      <c r="H152" s="1" t="s">
        <v>59</v>
      </c>
      <c r="I152" s="1" t="s">
        <v>475</v>
      </c>
      <c r="J152" s="2">
        <v>0</v>
      </c>
      <c r="K152" s="12">
        <v>50000</v>
      </c>
      <c r="L152" s="2">
        <v>0</v>
      </c>
      <c r="M152" s="2">
        <v>50000</v>
      </c>
      <c r="N152" s="12">
        <v>0</v>
      </c>
      <c r="O152" s="2">
        <v>0</v>
      </c>
      <c r="P152" s="2">
        <v>0</v>
      </c>
      <c r="Q152" s="2">
        <v>0</v>
      </c>
      <c r="R152" s="2">
        <v>0</v>
      </c>
      <c r="S152" s="8" t="str">
        <f t="shared" si="6"/>
        <v>20314191294000300000918</v>
      </c>
      <c r="T152" s="14">
        <f>IFERROR(VLOOKUP(S152,AFIP!$F$2:$R$999999,12,FALSE),"NO")</f>
        <v>0</v>
      </c>
      <c r="U152" s="10" t="str">
        <f t="shared" si="7"/>
        <v>SI</v>
      </c>
      <c r="V152" s="10">
        <f>IFERROR(VLOOKUP(S152,AFIP!$F$2:$R$999999,13,FALSE),"NO")</f>
        <v>50000</v>
      </c>
      <c r="W152" s="1" t="str">
        <f t="shared" si="8"/>
        <v>SI</v>
      </c>
    </row>
    <row r="153" spans="1:23" x14ac:dyDescent="0.25">
      <c r="A153" s="1" t="s">
        <v>476</v>
      </c>
      <c r="B153" s="1" t="s">
        <v>477</v>
      </c>
      <c r="C153" s="1" t="s">
        <v>19</v>
      </c>
      <c r="D153" s="1">
        <v>27366557860</v>
      </c>
      <c r="E153" s="1" t="s">
        <v>63</v>
      </c>
      <c r="F153" s="1" t="s">
        <v>359</v>
      </c>
      <c r="G153" s="1" t="s">
        <v>53</v>
      </c>
      <c r="H153" s="1" t="s">
        <v>59</v>
      </c>
      <c r="I153" s="1" t="s">
        <v>478</v>
      </c>
      <c r="J153" s="2">
        <v>0</v>
      </c>
      <c r="K153" s="12">
        <v>40000</v>
      </c>
      <c r="L153" s="2">
        <v>0</v>
      </c>
      <c r="M153" s="2">
        <v>40000</v>
      </c>
      <c r="N153" s="12">
        <v>0</v>
      </c>
      <c r="O153" s="2">
        <v>0</v>
      </c>
      <c r="P153" s="2">
        <v>0</v>
      </c>
      <c r="Q153" s="2">
        <v>0</v>
      </c>
      <c r="R153" s="2">
        <v>0</v>
      </c>
      <c r="S153" s="8" t="str">
        <f t="shared" si="6"/>
        <v>27366557860001100002025</v>
      </c>
      <c r="T153" s="14" t="str">
        <f>IFERROR(VLOOKUP(S153,AFIP!$F$2:$R$999999,12,FALSE),"NO")</f>
        <v>NO</v>
      </c>
      <c r="U153" s="10" t="str">
        <f t="shared" si="7"/>
        <v>NO</v>
      </c>
      <c r="V153" s="10" t="str">
        <f>IFERROR(VLOOKUP(S153,AFIP!$F$2:$R$999999,13,FALSE),"NO")</f>
        <v>NO</v>
      </c>
      <c r="W153" s="1" t="str">
        <f t="shared" si="8"/>
        <v>NO</v>
      </c>
    </row>
    <row r="154" spans="1:23" hidden="1" x14ac:dyDescent="0.25">
      <c r="A154" s="1" t="s">
        <v>86</v>
      </c>
      <c r="B154" s="1" t="s">
        <v>87</v>
      </c>
      <c r="C154" s="1" t="s">
        <v>19</v>
      </c>
      <c r="D154" s="1">
        <v>20085020944</v>
      </c>
      <c r="E154" s="1" t="s">
        <v>20</v>
      </c>
      <c r="F154" s="1" t="s">
        <v>365</v>
      </c>
      <c r="G154" s="1" t="s">
        <v>53</v>
      </c>
      <c r="H154" s="1" t="s">
        <v>54</v>
      </c>
      <c r="I154" s="1" t="s">
        <v>479</v>
      </c>
      <c r="J154" s="2">
        <v>21</v>
      </c>
      <c r="K154" s="12">
        <v>1354476.42</v>
      </c>
      <c r="L154" s="2">
        <v>1119402</v>
      </c>
      <c r="M154" s="2">
        <v>0</v>
      </c>
      <c r="N154" s="12">
        <v>235074.42</v>
      </c>
      <c r="O154" s="2">
        <v>0</v>
      </c>
      <c r="P154" s="2">
        <v>0</v>
      </c>
      <c r="Q154" s="2">
        <v>0</v>
      </c>
      <c r="R154" s="2">
        <v>0</v>
      </c>
      <c r="S154" s="8" t="str">
        <f t="shared" si="6"/>
        <v>20085020944000200000409</v>
      </c>
      <c r="T154" s="14">
        <f>IFERROR(VLOOKUP(S154,AFIP!$F$2:$R$999999,12,FALSE),"NO")</f>
        <v>235074.42</v>
      </c>
      <c r="U154" s="10" t="str">
        <f t="shared" si="7"/>
        <v>SI</v>
      </c>
      <c r="V154" s="10">
        <f>IFERROR(VLOOKUP(S154,AFIP!$F$2:$R$999999,13,FALSE),"NO")</f>
        <v>1414476.42</v>
      </c>
      <c r="W154" s="1" t="str">
        <f t="shared" si="8"/>
        <v>NO</v>
      </c>
    </row>
    <row r="155" spans="1:23" hidden="1" x14ac:dyDescent="0.25">
      <c r="A155" s="1" t="s">
        <v>86</v>
      </c>
      <c r="B155" s="1" t="s">
        <v>87</v>
      </c>
      <c r="C155" s="1" t="s">
        <v>19</v>
      </c>
      <c r="D155" s="1">
        <v>20085020944</v>
      </c>
      <c r="E155" s="1" t="s">
        <v>20</v>
      </c>
      <c r="F155" s="1" t="s">
        <v>365</v>
      </c>
      <c r="G155" s="1" t="s">
        <v>53</v>
      </c>
      <c r="H155" s="1" t="s">
        <v>54</v>
      </c>
      <c r="I155" s="1" t="s">
        <v>479</v>
      </c>
      <c r="J155" s="2">
        <v>0</v>
      </c>
      <c r="K155" s="12">
        <v>60000</v>
      </c>
      <c r="L155" s="2">
        <v>0</v>
      </c>
      <c r="M155" s="2">
        <v>60000</v>
      </c>
      <c r="N155" s="12">
        <v>0</v>
      </c>
      <c r="O155" s="2">
        <v>0</v>
      </c>
      <c r="P155" s="2">
        <v>0</v>
      </c>
      <c r="Q155" s="2">
        <v>0</v>
      </c>
      <c r="R155" s="2">
        <v>0</v>
      </c>
      <c r="S155" s="8" t="str">
        <f t="shared" si="6"/>
        <v>20085020944000200000409</v>
      </c>
      <c r="T155" s="14">
        <f>IFERROR(VLOOKUP(S155,AFIP!$F$2:$R$999999,12,FALSE),"NO")</f>
        <v>235074.42</v>
      </c>
      <c r="U155" s="10" t="str">
        <f t="shared" si="7"/>
        <v>NO</v>
      </c>
      <c r="V155" s="10">
        <f>IFERROR(VLOOKUP(S155,AFIP!$F$2:$R$999999,13,FALSE),"NO")</f>
        <v>1414476.42</v>
      </c>
      <c r="W155" s="1" t="str">
        <f t="shared" si="8"/>
        <v>NO</v>
      </c>
    </row>
    <row r="156" spans="1:23" hidden="1" x14ac:dyDescent="0.25">
      <c r="A156" s="1" t="s">
        <v>480</v>
      </c>
      <c r="B156" s="1" t="s">
        <v>481</v>
      </c>
      <c r="C156" s="1" t="s">
        <v>19</v>
      </c>
      <c r="D156" s="1">
        <v>20173443634</v>
      </c>
      <c r="E156" s="1" t="s">
        <v>20</v>
      </c>
      <c r="F156" s="1" t="s">
        <v>365</v>
      </c>
      <c r="G156" s="1" t="s">
        <v>53</v>
      </c>
      <c r="H156" s="1" t="s">
        <v>54</v>
      </c>
      <c r="I156" s="1" t="s">
        <v>482</v>
      </c>
      <c r="J156" s="2">
        <v>21</v>
      </c>
      <c r="K156" s="12">
        <v>20763.599999999999</v>
      </c>
      <c r="L156" s="2">
        <v>17160</v>
      </c>
      <c r="M156" s="2">
        <v>0</v>
      </c>
      <c r="N156" s="12">
        <v>3603.6</v>
      </c>
      <c r="O156" s="2">
        <v>0</v>
      </c>
      <c r="P156" s="2">
        <v>0</v>
      </c>
      <c r="Q156" s="2">
        <v>0</v>
      </c>
      <c r="R156" s="2">
        <v>0</v>
      </c>
      <c r="S156" s="8" t="str">
        <f t="shared" si="6"/>
        <v>20173443634000200002021</v>
      </c>
      <c r="T156" s="14">
        <f>IFERROR(VLOOKUP(S156,AFIP!$F$2:$R$999999,12,FALSE),"NO")</f>
        <v>3603.6</v>
      </c>
      <c r="U156" s="10" t="str">
        <f t="shared" si="7"/>
        <v>SI</v>
      </c>
      <c r="V156" s="10">
        <f>IFERROR(VLOOKUP(S156,AFIP!$F$2:$R$999999,13,FALSE),"NO")</f>
        <v>20763.599999999999</v>
      </c>
      <c r="W156" s="1" t="str">
        <f t="shared" si="8"/>
        <v>SI</v>
      </c>
    </row>
    <row r="157" spans="1:23" hidden="1" x14ac:dyDescent="0.25">
      <c r="A157" s="1" t="s">
        <v>272</v>
      </c>
      <c r="B157" s="1" t="s">
        <v>273</v>
      </c>
      <c r="C157" s="1" t="s">
        <v>19</v>
      </c>
      <c r="D157" s="1">
        <v>20201399298</v>
      </c>
      <c r="E157" s="1" t="s">
        <v>20</v>
      </c>
      <c r="F157" s="1" t="s">
        <v>365</v>
      </c>
      <c r="G157" s="1" t="s">
        <v>53</v>
      </c>
      <c r="H157" s="1" t="s">
        <v>54</v>
      </c>
      <c r="I157" s="1" t="s">
        <v>483</v>
      </c>
      <c r="J157" s="2">
        <v>21</v>
      </c>
      <c r="K157" s="12">
        <v>479761.07</v>
      </c>
      <c r="L157" s="2">
        <v>396496.75</v>
      </c>
      <c r="M157" s="2">
        <v>0</v>
      </c>
      <c r="N157" s="12">
        <v>83264.320000000007</v>
      </c>
      <c r="O157" s="2">
        <v>0</v>
      </c>
      <c r="P157" s="2">
        <v>0</v>
      </c>
      <c r="Q157" s="2">
        <v>0</v>
      </c>
      <c r="R157" s="2">
        <v>0</v>
      </c>
      <c r="S157" s="8" t="str">
        <f t="shared" si="6"/>
        <v>20201399298000200002262</v>
      </c>
      <c r="T157" s="14">
        <f>IFERROR(VLOOKUP(S157,AFIP!$F$2:$R$999999,12,FALSE),"NO")</f>
        <v>83264.320000000007</v>
      </c>
      <c r="U157" s="10" t="str">
        <f t="shared" si="7"/>
        <v>SI</v>
      </c>
      <c r="V157" s="10">
        <f>IFERROR(VLOOKUP(S157,AFIP!$F$2:$R$999999,13,FALSE),"NO")</f>
        <v>479761.07</v>
      </c>
      <c r="W157" s="1" t="str">
        <f t="shared" si="8"/>
        <v>SI</v>
      </c>
    </row>
    <row r="158" spans="1:23" hidden="1" x14ac:dyDescent="0.25">
      <c r="A158" s="1" t="s">
        <v>72</v>
      </c>
      <c r="B158" s="1" t="s">
        <v>73</v>
      </c>
      <c r="C158" s="1" t="s">
        <v>19</v>
      </c>
      <c r="D158" s="1">
        <v>20242147341</v>
      </c>
      <c r="E158" s="1" t="s">
        <v>20</v>
      </c>
      <c r="F158" s="1" t="s">
        <v>365</v>
      </c>
      <c r="G158" s="1" t="s">
        <v>53</v>
      </c>
      <c r="H158" s="1" t="s">
        <v>54</v>
      </c>
      <c r="I158" s="1" t="s">
        <v>484</v>
      </c>
      <c r="J158" s="2">
        <v>21</v>
      </c>
      <c r="K158" s="12">
        <v>120149.37</v>
      </c>
      <c r="L158" s="2">
        <v>99297</v>
      </c>
      <c r="M158" s="2">
        <v>0</v>
      </c>
      <c r="N158" s="12">
        <v>20852.37</v>
      </c>
      <c r="O158" s="2">
        <v>0</v>
      </c>
      <c r="P158" s="2">
        <v>0</v>
      </c>
      <c r="Q158" s="2">
        <v>0</v>
      </c>
      <c r="R158" s="2">
        <v>0</v>
      </c>
      <c r="S158" s="8" t="str">
        <f t="shared" si="6"/>
        <v>20242147341000200007784</v>
      </c>
      <c r="T158" s="14">
        <f>IFERROR(VLOOKUP(S158,AFIP!$F$2:$R$999999,12,FALSE),"NO")</f>
        <v>20852.37</v>
      </c>
      <c r="U158" s="10" t="str">
        <f t="shared" si="7"/>
        <v>SI</v>
      </c>
      <c r="V158" s="10">
        <f>IFERROR(VLOOKUP(S158,AFIP!$F$2:$R$999999,13,FALSE),"NO")</f>
        <v>120149.37</v>
      </c>
      <c r="W158" s="1" t="str">
        <f t="shared" si="8"/>
        <v>SI</v>
      </c>
    </row>
    <row r="159" spans="1:23" hidden="1" x14ac:dyDescent="0.25">
      <c r="A159" s="1" t="s">
        <v>131</v>
      </c>
      <c r="B159" s="1" t="s">
        <v>132</v>
      </c>
      <c r="C159" s="1" t="s">
        <v>19</v>
      </c>
      <c r="D159" s="1">
        <v>30708506237</v>
      </c>
      <c r="E159" s="1" t="s">
        <v>20</v>
      </c>
      <c r="F159" s="1" t="s">
        <v>365</v>
      </c>
      <c r="G159" s="1" t="s">
        <v>53</v>
      </c>
      <c r="H159" s="1" t="s">
        <v>54</v>
      </c>
      <c r="I159" s="1" t="s">
        <v>485</v>
      </c>
      <c r="J159" s="2">
        <v>21</v>
      </c>
      <c r="K159" s="12">
        <v>159514.29999999999</v>
      </c>
      <c r="L159" s="2">
        <v>131830</v>
      </c>
      <c r="M159" s="2">
        <v>0</v>
      </c>
      <c r="N159" s="12">
        <v>27684.3</v>
      </c>
      <c r="O159" s="2">
        <v>0</v>
      </c>
      <c r="P159" s="2">
        <v>0</v>
      </c>
      <c r="Q159" s="2">
        <v>0</v>
      </c>
      <c r="R159" s="2">
        <v>0</v>
      </c>
      <c r="S159" s="8" t="str">
        <f t="shared" si="6"/>
        <v>30708506237000200066088</v>
      </c>
      <c r="T159" s="14">
        <f>IFERROR(VLOOKUP(S159,AFIP!$F$2:$R$999999,12,FALSE),"NO")</f>
        <v>27684.3</v>
      </c>
      <c r="U159" s="10" t="str">
        <f t="shared" si="7"/>
        <v>SI</v>
      </c>
      <c r="V159" s="10">
        <f>IFERROR(VLOOKUP(S159,AFIP!$F$2:$R$999999,13,FALSE),"NO")</f>
        <v>159514.29999999999</v>
      </c>
      <c r="W159" s="1" t="str">
        <f t="shared" si="8"/>
        <v>SI</v>
      </c>
    </row>
    <row r="160" spans="1:23" hidden="1" x14ac:dyDescent="0.25">
      <c r="A160" s="1" t="s">
        <v>1080</v>
      </c>
      <c r="B160" s="1" t="s">
        <v>886</v>
      </c>
      <c r="C160" s="1" t="s">
        <v>19</v>
      </c>
      <c r="D160" s="1">
        <v>24275905050</v>
      </c>
      <c r="E160" s="1" t="s">
        <v>20</v>
      </c>
      <c r="F160" s="1" t="s">
        <v>365</v>
      </c>
      <c r="G160" s="1" t="s">
        <v>53</v>
      </c>
      <c r="H160" s="1" t="s">
        <v>54</v>
      </c>
      <c r="I160" s="1" t="s">
        <v>1081</v>
      </c>
      <c r="J160" s="2">
        <v>21</v>
      </c>
      <c r="K160" s="12">
        <v>44000</v>
      </c>
      <c r="L160" s="2">
        <v>36363.64</v>
      </c>
      <c r="M160" s="2">
        <v>0</v>
      </c>
      <c r="N160" s="12">
        <v>7636.36</v>
      </c>
      <c r="O160" s="2">
        <v>0</v>
      </c>
      <c r="P160" s="2">
        <v>0</v>
      </c>
      <c r="Q160" s="2">
        <v>0</v>
      </c>
      <c r="R160" s="2">
        <v>0</v>
      </c>
      <c r="S160" s="8" t="str">
        <f t="shared" si="6"/>
        <v>24275905050000400002700</v>
      </c>
      <c r="T160" s="14">
        <f>IFERROR(VLOOKUP(S160,AFIP!$F$2:$R$999999,12,FALSE),"NO")</f>
        <v>7636.36</v>
      </c>
      <c r="U160" s="10" t="str">
        <f t="shared" si="7"/>
        <v>SI</v>
      </c>
      <c r="V160" s="10">
        <f>IFERROR(VLOOKUP(S160,AFIP!$F$2:$R$999999,13,FALSE),"NO")</f>
        <v>44000</v>
      </c>
      <c r="W160" s="1" t="str">
        <f t="shared" si="8"/>
        <v>SI</v>
      </c>
    </row>
    <row r="161" spans="1:23" hidden="1" x14ac:dyDescent="0.25">
      <c r="A161" s="1" t="s">
        <v>302</v>
      </c>
      <c r="B161" s="1" t="s">
        <v>303</v>
      </c>
      <c r="C161" s="1" t="s">
        <v>19</v>
      </c>
      <c r="D161" s="1">
        <v>20168303980</v>
      </c>
      <c r="E161" s="1" t="s">
        <v>20</v>
      </c>
      <c r="F161" s="1" t="s">
        <v>365</v>
      </c>
      <c r="G161" s="1" t="s">
        <v>53</v>
      </c>
      <c r="H161" s="1" t="s">
        <v>54</v>
      </c>
      <c r="I161" s="1" t="s">
        <v>486</v>
      </c>
      <c r="J161" s="2">
        <v>21</v>
      </c>
      <c r="K161" s="12">
        <v>968764.59</v>
      </c>
      <c r="L161" s="2">
        <v>784424.77</v>
      </c>
      <c r="M161" s="2">
        <v>0</v>
      </c>
      <c r="N161" s="12">
        <v>164729.20000000001</v>
      </c>
      <c r="O161" s="2">
        <v>0</v>
      </c>
      <c r="P161" s="2">
        <v>19610.62</v>
      </c>
      <c r="Q161" s="2">
        <v>0</v>
      </c>
      <c r="R161" s="2">
        <v>0</v>
      </c>
      <c r="S161" s="8" t="str">
        <f t="shared" si="6"/>
        <v>20168303980000400005097</v>
      </c>
      <c r="T161" s="14">
        <f>IFERROR(VLOOKUP(S161,AFIP!$F$2:$R$999999,12,FALSE),"NO")</f>
        <v>164729.20000000001</v>
      </c>
      <c r="U161" s="10" t="str">
        <f t="shared" si="7"/>
        <v>SI</v>
      </c>
      <c r="V161" s="10">
        <f>IFERROR(VLOOKUP(S161,AFIP!$F$2:$R$999999,13,FALSE),"NO")</f>
        <v>968764.59</v>
      </c>
      <c r="W161" s="1" t="str">
        <f t="shared" si="8"/>
        <v>SI</v>
      </c>
    </row>
    <row r="162" spans="1:23" hidden="1" x14ac:dyDescent="0.25">
      <c r="A162" s="1" t="s">
        <v>115</v>
      </c>
      <c r="B162" s="1" t="s">
        <v>116</v>
      </c>
      <c r="C162" s="1" t="s">
        <v>19</v>
      </c>
      <c r="D162" s="1">
        <v>20062436965</v>
      </c>
      <c r="E162" s="1" t="s">
        <v>20</v>
      </c>
      <c r="F162" s="1" t="s">
        <v>365</v>
      </c>
      <c r="G162" s="1" t="s">
        <v>53</v>
      </c>
      <c r="H162" s="1" t="s">
        <v>54</v>
      </c>
      <c r="I162" s="1" t="s">
        <v>487</v>
      </c>
      <c r="J162" s="2">
        <v>21</v>
      </c>
      <c r="K162" s="12">
        <v>1108356.19</v>
      </c>
      <c r="L162" s="2">
        <v>915996.85</v>
      </c>
      <c r="M162" s="2">
        <v>0</v>
      </c>
      <c r="N162" s="12">
        <v>192359.34</v>
      </c>
      <c r="O162" s="2">
        <v>0</v>
      </c>
      <c r="P162" s="2">
        <v>0</v>
      </c>
      <c r="Q162" s="2">
        <v>0</v>
      </c>
      <c r="R162" s="2">
        <v>0</v>
      </c>
      <c r="S162" s="8" t="str">
        <f t="shared" si="6"/>
        <v>20062436965000400017859</v>
      </c>
      <c r="T162" s="14">
        <f>IFERROR(VLOOKUP(S162,AFIP!$F$2:$R$999999,12,FALSE),"NO")</f>
        <v>192359.34</v>
      </c>
      <c r="U162" s="10" t="str">
        <f t="shared" si="7"/>
        <v>SI</v>
      </c>
      <c r="V162" s="10">
        <f>IFERROR(VLOOKUP(S162,AFIP!$F$2:$R$999999,13,FALSE),"NO")</f>
        <v>1108356.19</v>
      </c>
      <c r="W162" s="1" t="str">
        <f t="shared" si="8"/>
        <v>SI</v>
      </c>
    </row>
    <row r="163" spans="1:23" hidden="1" x14ac:dyDescent="0.25">
      <c r="A163" s="1" t="s">
        <v>488</v>
      </c>
      <c r="B163" s="1" t="s">
        <v>489</v>
      </c>
      <c r="C163" s="1" t="s">
        <v>19</v>
      </c>
      <c r="D163" s="1">
        <v>27171610163</v>
      </c>
      <c r="E163" s="1" t="s">
        <v>20</v>
      </c>
      <c r="F163" s="1" t="s">
        <v>365</v>
      </c>
      <c r="G163" s="1" t="s">
        <v>53</v>
      </c>
      <c r="H163" s="1" t="s">
        <v>54</v>
      </c>
      <c r="I163" s="1" t="s">
        <v>490</v>
      </c>
      <c r="J163" s="2">
        <v>21</v>
      </c>
      <c r="K163" s="12">
        <v>16000</v>
      </c>
      <c r="L163" s="2">
        <v>13223.14</v>
      </c>
      <c r="M163" s="2">
        <v>0</v>
      </c>
      <c r="N163" s="12">
        <v>2776.86</v>
      </c>
      <c r="O163" s="2">
        <v>0</v>
      </c>
      <c r="P163" s="2">
        <v>0</v>
      </c>
      <c r="Q163" s="2">
        <v>0</v>
      </c>
      <c r="R163" s="2">
        <v>0</v>
      </c>
      <c r="S163" s="8" t="str">
        <f t="shared" si="6"/>
        <v>27171610163000500001693</v>
      </c>
      <c r="T163" s="14">
        <f>IFERROR(VLOOKUP(S163,AFIP!$F$2:$R$999999,12,FALSE),"NO")</f>
        <v>2776.86</v>
      </c>
      <c r="U163" s="10" t="str">
        <f t="shared" si="7"/>
        <v>SI</v>
      </c>
      <c r="V163" s="10">
        <f>IFERROR(VLOOKUP(S163,AFIP!$F$2:$R$999999,13,FALSE),"NO")</f>
        <v>16000</v>
      </c>
      <c r="W163" s="1" t="str">
        <f t="shared" si="8"/>
        <v>SI</v>
      </c>
    </row>
    <row r="164" spans="1:23" hidden="1" x14ac:dyDescent="0.25">
      <c r="A164" s="1" t="s">
        <v>491</v>
      </c>
      <c r="B164" s="1" t="s">
        <v>492</v>
      </c>
      <c r="C164" s="1" t="s">
        <v>19</v>
      </c>
      <c r="D164" s="1">
        <v>27208224803</v>
      </c>
      <c r="E164" s="1" t="s">
        <v>20</v>
      </c>
      <c r="F164" s="1" t="s">
        <v>365</v>
      </c>
      <c r="G164" s="1" t="s">
        <v>53</v>
      </c>
      <c r="H164" s="1" t="s">
        <v>54</v>
      </c>
      <c r="I164" s="1" t="s">
        <v>493</v>
      </c>
      <c r="J164" s="2">
        <v>21</v>
      </c>
      <c r="K164" s="12">
        <v>34001</v>
      </c>
      <c r="L164" s="2">
        <v>28100</v>
      </c>
      <c r="M164" s="2">
        <v>0</v>
      </c>
      <c r="N164" s="12">
        <v>5901</v>
      </c>
      <c r="O164" s="2">
        <v>0</v>
      </c>
      <c r="P164" s="2">
        <v>0</v>
      </c>
      <c r="Q164" s="2">
        <v>0</v>
      </c>
      <c r="R164" s="2">
        <v>0</v>
      </c>
      <c r="S164" s="8" t="str">
        <f t="shared" si="6"/>
        <v>27208224803000600000159</v>
      </c>
      <c r="T164" s="14">
        <f>IFERROR(VLOOKUP(S164,AFIP!$F$2:$R$999999,12,FALSE),"NO")</f>
        <v>5901</v>
      </c>
      <c r="U164" s="10" t="str">
        <f t="shared" si="7"/>
        <v>SI</v>
      </c>
      <c r="V164" s="10">
        <f>IFERROR(VLOOKUP(S164,AFIP!$F$2:$R$999999,13,FALSE),"NO")</f>
        <v>34001</v>
      </c>
      <c r="W164" s="1" t="str">
        <f t="shared" si="8"/>
        <v>SI</v>
      </c>
    </row>
    <row r="165" spans="1:23" hidden="1" x14ac:dyDescent="0.25">
      <c r="A165" s="1" t="s">
        <v>494</v>
      </c>
      <c r="B165" s="1" t="s">
        <v>495</v>
      </c>
      <c r="C165" s="1" t="s">
        <v>19</v>
      </c>
      <c r="D165" s="1">
        <v>20172227636</v>
      </c>
      <c r="E165" s="1" t="s">
        <v>20</v>
      </c>
      <c r="F165" s="1" t="s">
        <v>365</v>
      </c>
      <c r="G165" s="1" t="s">
        <v>53</v>
      </c>
      <c r="H165" s="1" t="s">
        <v>54</v>
      </c>
      <c r="I165" s="1" t="s">
        <v>496</v>
      </c>
      <c r="J165" s="2">
        <v>21</v>
      </c>
      <c r="K165" s="12">
        <v>2521.34</v>
      </c>
      <c r="L165" s="2">
        <v>2083.75</v>
      </c>
      <c r="M165" s="2">
        <v>0</v>
      </c>
      <c r="N165" s="12">
        <v>437.59</v>
      </c>
      <c r="O165" s="2">
        <v>0</v>
      </c>
      <c r="P165" s="2">
        <v>0</v>
      </c>
      <c r="Q165" s="2">
        <v>0</v>
      </c>
      <c r="R165" s="2">
        <v>0</v>
      </c>
      <c r="S165" s="8" t="str">
        <f t="shared" si="6"/>
        <v>20172227636000600021852</v>
      </c>
      <c r="T165" s="14">
        <f>IFERROR(VLOOKUP(S165,AFIP!$F$2:$R$999999,12,FALSE),"NO")</f>
        <v>437.58</v>
      </c>
      <c r="U165" s="10" t="str">
        <f t="shared" si="7"/>
        <v>NO</v>
      </c>
      <c r="V165" s="10">
        <f>IFERROR(VLOOKUP(S165,AFIP!$F$2:$R$999999,13,FALSE),"NO")</f>
        <v>2521.3000000000002</v>
      </c>
      <c r="W165" s="1" t="str">
        <f t="shared" si="8"/>
        <v>NO</v>
      </c>
    </row>
    <row r="166" spans="1:23" hidden="1" x14ac:dyDescent="0.25">
      <c r="A166" s="1" t="s">
        <v>497</v>
      </c>
      <c r="B166" s="1" t="s">
        <v>498</v>
      </c>
      <c r="C166" s="1" t="s">
        <v>19</v>
      </c>
      <c r="D166" s="1">
        <v>20333662249</v>
      </c>
      <c r="E166" s="1" t="s">
        <v>20</v>
      </c>
      <c r="F166" s="1" t="s">
        <v>365</v>
      </c>
      <c r="G166" s="1" t="s">
        <v>53</v>
      </c>
      <c r="H166" s="1" t="s">
        <v>54</v>
      </c>
      <c r="I166" s="1" t="s">
        <v>499</v>
      </c>
      <c r="J166" s="2">
        <v>21</v>
      </c>
      <c r="K166" s="12">
        <v>489596.25</v>
      </c>
      <c r="L166" s="2">
        <v>404625</v>
      </c>
      <c r="M166" s="2">
        <v>0</v>
      </c>
      <c r="N166" s="12">
        <v>84971.25</v>
      </c>
      <c r="O166" s="2">
        <v>0</v>
      </c>
      <c r="P166" s="2">
        <v>0</v>
      </c>
      <c r="Q166" s="2">
        <v>0</v>
      </c>
      <c r="R166" s="2">
        <v>0</v>
      </c>
      <c r="S166" s="8" t="str">
        <f t="shared" si="6"/>
        <v>20333662249000700000222</v>
      </c>
      <c r="T166" s="14">
        <f>IFERROR(VLOOKUP(S166,AFIP!$F$2:$R$999999,12,FALSE),"NO")</f>
        <v>84971.25</v>
      </c>
      <c r="U166" s="10" t="str">
        <f t="shared" si="7"/>
        <v>SI</v>
      </c>
      <c r="V166" s="10">
        <f>IFERROR(VLOOKUP(S166,AFIP!$F$2:$R$999999,13,FALSE),"NO")</f>
        <v>489596.25</v>
      </c>
      <c r="W166" s="1" t="str">
        <f t="shared" si="8"/>
        <v>SI</v>
      </c>
    </row>
    <row r="167" spans="1:23" x14ac:dyDescent="0.25">
      <c r="A167" s="1" t="s">
        <v>99</v>
      </c>
      <c r="B167" s="1" t="s">
        <v>100</v>
      </c>
      <c r="C167" s="1" t="s">
        <v>19</v>
      </c>
      <c r="D167" s="1">
        <v>30707787364</v>
      </c>
      <c r="E167" s="1" t="s">
        <v>20</v>
      </c>
      <c r="F167" s="1" t="s">
        <v>365</v>
      </c>
      <c r="G167" s="1" t="s">
        <v>53</v>
      </c>
      <c r="H167" s="1" t="s">
        <v>54</v>
      </c>
      <c r="I167" s="1" t="s">
        <v>1082</v>
      </c>
      <c r="J167" s="2">
        <v>21</v>
      </c>
      <c r="K167" s="12">
        <v>119637.37</v>
      </c>
      <c r="L167" s="2">
        <v>98873.86</v>
      </c>
      <c r="M167" s="2">
        <v>0</v>
      </c>
      <c r="N167" s="12">
        <v>20763.509999999998</v>
      </c>
      <c r="O167" s="2">
        <v>0</v>
      </c>
      <c r="P167" s="2">
        <v>0</v>
      </c>
      <c r="Q167" s="2">
        <v>0</v>
      </c>
      <c r="R167" s="2">
        <v>0</v>
      </c>
      <c r="S167" s="8" t="str">
        <f t="shared" si="6"/>
        <v>30707787364000700007315</v>
      </c>
      <c r="T167" s="14" t="str">
        <f>IFERROR(VLOOKUP(S167,AFIP!$F$2:$R$999999,12,FALSE),"NO")</f>
        <v>NO</v>
      </c>
      <c r="U167" s="10" t="str">
        <f t="shared" si="7"/>
        <v>NO</v>
      </c>
      <c r="V167" s="10" t="str">
        <f>IFERROR(VLOOKUP(S167,AFIP!$F$2:$R$999999,13,FALSE),"NO")</f>
        <v>NO</v>
      </c>
      <c r="W167" s="1" t="str">
        <f t="shared" si="8"/>
        <v>NO</v>
      </c>
    </row>
    <row r="168" spans="1:23" x14ac:dyDescent="0.25">
      <c r="A168" s="1" t="s">
        <v>99</v>
      </c>
      <c r="B168" s="1" t="s">
        <v>100</v>
      </c>
      <c r="C168" s="1" t="s">
        <v>19</v>
      </c>
      <c r="D168" s="1">
        <v>30707787364</v>
      </c>
      <c r="E168" s="1" t="s">
        <v>20</v>
      </c>
      <c r="F168" s="1" t="s">
        <v>365</v>
      </c>
      <c r="G168" s="1" t="s">
        <v>53</v>
      </c>
      <c r="H168" s="1" t="s">
        <v>54</v>
      </c>
      <c r="I168" s="1" t="s">
        <v>1082</v>
      </c>
      <c r="J168" s="2">
        <v>0</v>
      </c>
      <c r="K168" s="12">
        <v>14163.79</v>
      </c>
      <c r="L168" s="2">
        <v>0</v>
      </c>
      <c r="M168" s="2">
        <v>14163.79</v>
      </c>
      <c r="N168" s="12">
        <v>0</v>
      </c>
      <c r="O168" s="2">
        <v>0</v>
      </c>
      <c r="P168" s="2">
        <v>0</v>
      </c>
      <c r="Q168" s="2">
        <v>0</v>
      </c>
      <c r="R168" s="2">
        <v>0</v>
      </c>
      <c r="S168" s="8" t="str">
        <f t="shared" si="6"/>
        <v>30707787364000700007315</v>
      </c>
      <c r="T168" s="14" t="str">
        <f>IFERROR(VLOOKUP(S168,AFIP!$F$2:$R$999999,12,FALSE),"NO")</f>
        <v>NO</v>
      </c>
      <c r="U168" s="10" t="str">
        <f t="shared" si="7"/>
        <v>NO</v>
      </c>
      <c r="V168" s="10" t="str">
        <f>IFERROR(VLOOKUP(S168,AFIP!$F$2:$R$999999,13,FALSE),"NO")</f>
        <v>NO</v>
      </c>
      <c r="W168" s="1" t="str">
        <f t="shared" si="8"/>
        <v>NO</v>
      </c>
    </row>
    <row r="169" spans="1:23" hidden="1" x14ac:dyDescent="0.25">
      <c r="A169" s="1" t="s">
        <v>133</v>
      </c>
      <c r="B169" s="1" t="s">
        <v>134</v>
      </c>
      <c r="C169" s="1" t="s">
        <v>19</v>
      </c>
      <c r="D169" s="1">
        <v>30682681108</v>
      </c>
      <c r="E169" s="1" t="s">
        <v>20</v>
      </c>
      <c r="F169" s="1" t="s">
        <v>365</v>
      </c>
      <c r="G169" s="1" t="s">
        <v>53</v>
      </c>
      <c r="H169" s="1" t="s">
        <v>54</v>
      </c>
      <c r="I169" s="1" t="s">
        <v>500</v>
      </c>
      <c r="J169" s="2">
        <v>21</v>
      </c>
      <c r="K169" s="12">
        <v>3630.9</v>
      </c>
      <c r="L169" s="2">
        <v>2983.41</v>
      </c>
      <c r="M169" s="2">
        <v>29.64</v>
      </c>
      <c r="N169" s="12">
        <v>637.26</v>
      </c>
      <c r="O169" s="2">
        <v>0</v>
      </c>
      <c r="P169" s="2">
        <v>0</v>
      </c>
      <c r="Q169" s="2">
        <v>0</v>
      </c>
      <c r="R169" s="2">
        <v>0</v>
      </c>
      <c r="S169" s="8" t="str">
        <f t="shared" si="6"/>
        <v>30682681108001000016660</v>
      </c>
      <c r="T169" s="14">
        <f>IFERROR(VLOOKUP(S169,AFIP!$F$2:$R$999999,12,FALSE),"NO")</f>
        <v>0.43</v>
      </c>
      <c r="U169" s="10" t="str">
        <f t="shared" si="7"/>
        <v>NO</v>
      </c>
      <c r="V169" s="10">
        <f>IFERROR(VLOOKUP(S169,AFIP!$F$2:$R$999999,13,FALSE),"NO")</f>
        <v>2.46</v>
      </c>
      <c r="W169" s="1" t="str">
        <f t="shared" si="8"/>
        <v>NO</v>
      </c>
    </row>
    <row r="170" spans="1:23" x14ac:dyDescent="0.25">
      <c r="A170" s="1" t="s">
        <v>147</v>
      </c>
      <c r="B170" s="1" t="s">
        <v>237</v>
      </c>
      <c r="C170" s="1" t="s">
        <v>19</v>
      </c>
      <c r="D170" s="1">
        <v>30500010084</v>
      </c>
      <c r="E170" s="1" t="s">
        <v>20</v>
      </c>
      <c r="F170" s="1" t="s">
        <v>365</v>
      </c>
      <c r="G170" s="1" t="s">
        <v>53</v>
      </c>
      <c r="H170" s="1" t="s">
        <v>54</v>
      </c>
      <c r="I170" s="1" t="s">
        <v>501</v>
      </c>
      <c r="J170" s="2">
        <v>10.5</v>
      </c>
      <c r="K170" s="12">
        <v>8135226.9100000001</v>
      </c>
      <c r="L170" s="2">
        <v>7362196.2999999998</v>
      </c>
      <c r="M170" s="2">
        <v>0</v>
      </c>
      <c r="N170" s="12">
        <v>773030.61</v>
      </c>
      <c r="O170" s="2">
        <v>0</v>
      </c>
      <c r="P170" s="2">
        <v>0</v>
      </c>
      <c r="Q170" s="2">
        <v>0</v>
      </c>
      <c r="R170" s="2">
        <v>0</v>
      </c>
      <c r="S170" s="8" t="str">
        <f t="shared" si="6"/>
        <v>30500010084001100309726</v>
      </c>
      <c r="T170" s="14" t="str">
        <f>IFERROR(VLOOKUP(S170,AFIP!$F$2:$R$999999,12,FALSE),"NO")</f>
        <v>NO</v>
      </c>
      <c r="U170" s="10" t="str">
        <f t="shared" si="7"/>
        <v>NO</v>
      </c>
      <c r="V170" s="10" t="str">
        <f>IFERROR(VLOOKUP(S170,AFIP!$F$2:$R$999999,13,FALSE),"NO")</f>
        <v>NO</v>
      </c>
      <c r="W170" s="1" t="str">
        <f t="shared" si="8"/>
        <v>NO</v>
      </c>
    </row>
    <row r="171" spans="1:23" x14ac:dyDescent="0.25">
      <c r="A171" s="1" t="s">
        <v>147</v>
      </c>
      <c r="B171" s="1" t="s">
        <v>237</v>
      </c>
      <c r="C171" s="1" t="s">
        <v>19</v>
      </c>
      <c r="D171" s="1">
        <v>30500010084</v>
      </c>
      <c r="E171" s="1" t="s">
        <v>20</v>
      </c>
      <c r="F171" s="1" t="s">
        <v>365</v>
      </c>
      <c r="G171" s="1" t="s">
        <v>53</v>
      </c>
      <c r="H171" s="1" t="s">
        <v>54</v>
      </c>
      <c r="I171" s="1" t="s">
        <v>501</v>
      </c>
      <c r="J171" s="2">
        <v>0</v>
      </c>
      <c r="K171" s="12">
        <v>110432.94</v>
      </c>
      <c r="L171" s="2">
        <v>0</v>
      </c>
      <c r="M171" s="2">
        <v>110432.94</v>
      </c>
      <c r="N171" s="12">
        <v>0</v>
      </c>
      <c r="O171" s="2">
        <v>0</v>
      </c>
      <c r="P171" s="2">
        <v>0</v>
      </c>
      <c r="Q171" s="2">
        <v>0</v>
      </c>
      <c r="R171" s="2">
        <v>0</v>
      </c>
      <c r="S171" s="8" t="str">
        <f t="shared" si="6"/>
        <v>30500010084001100309726</v>
      </c>
      <c r="T171" s="14" t="str">
        <f>IFERROR(VLOOKUP(S171,AFIP!$F$2:$R$999999,12,FALSE),"NO")</f>
        <v>NO</v>
      </c>
      <c r="U171" s="10" t="str">
        <f t="shared" si="7"/>
        <v>NO</v>
      </c>
      <c r="V171" s="10" t="str">
        <f>IFERROR(VLOOKUP(S171,AFIP!$F$2:$R$999999,13,FALSE),"NO")</f>
        <v>NO</v>
      </c>
      <c r="W171" s="1" t="str">
        <f t="shared" si="8"/>
        <v>NO</v>
      </c>
    </row>
    <row r="172" spans="1:23" hidden="1" x14ac:dyDescent="0.25">
      <c r="A172" s="1" t="s">
        <v>91</v>
      </c>
      <c r="B172" s="1" t="s">
        <v>92</v>
      </c>
      <c r="C172" s="1" t="s">
        <v>19</v>
      </c>
      <c r="D172" s="1">
        <v>30601652044</v>
      </c>
      <c r="E172" s="1" t="s">
        <v>20</v>
      </c>
      <c r="F172" s="1" t="s">
        <v>365</v>
      </c>
      <c r="G172" s="1" t="s">
        <v>53</v>
      </c>
      <c r="H172" s="1" t="s">
        <v>54</v>
      </c>
      <c r="I172" s="1" t="s">
        <v>502</v>
      </c>
      <c r="J172" s="2">
        <v>21</v>
      </c>
      <c r="K172" s="12">
        <v>76257.100000000006</v>
      </c>
      <c r="L172" s="2">
        <v>63022.400000000001</v>
      </c>
      <c r="M172" s="2">
        <v>0</v>
      </c>
      <c r="N172" s="12">
        <v>13234.7</v>
      </c>
      <c r="O172" s="2">
        <v>0</v>
      </c>
      <c r="P172" s="2">
        <v>0</v>
      </c>
      <c r="Q172" s="2">
        <v>0</v>
      </c>
      <c r="R172" s="2">
        <v>0</v>
      </c>
      <c r="S172" s="8" t="str">
        <f t="shared" si="6"/>
        <v>30601652044001800009317</v>
      </c>
      <c r="T172" s="14">
        <f>IFERROR(VLOOKUP(S172,AFIP!$F$2:$R$999999,12,FALSE),"NO")</f>
        <v>13234.7</v>
      </c>
      <c r="U172" s="10" t="str">
        <f t="shared" si="7"/>
        <v>SI</v>
      </c>
      <c r="V172" s="10">
        <f>IFERROR(VLOOKUP(S172,AFIP!$F$2:$R$999999,13,FALSE),"NO")</f>
        <v>76257.100000000006</v>
      </c>
      <c r="W172" s="1" t="str">
        <f t="shared" si="8"/>
        <v>SI</v>
      </c>
    </row>
    <row r="173" spans="1:23" x14ac:dyDescent="0.25">
      <c r="A173" s="1" t="s">
        <v>147</v>
      </c>
      <c r="B173" s="1" t="s">
        <v>237</v>
      </c>
      <c r="C173" s="1" t="s">
        <v>19</v>
      </c>
      <c r="D173" s="1">
        <v>30500010084</v>
      </c>
      <c r="E173" s="1" t="s">
        <v>20</v>
      </c>
      <c r="F173" s="1" t="s">
        <v>365</v>
      </c>
      <c r="G173" s="1" t="s">
        <v>53</v>
      </c>
      <c r="H173" s="1" t="s">
        <v>54</v>
      </c>
      <c r="I173" s="1" t="s">
        <v>503</v>
      </c>
      <c r="J173" s="2">
        <v>10.5</v>
      </c>
      <c r="K173" s="12">
        <v>5716883.7800000003</v>
      </c>
      <c r="L173" s="2">
        <v>5173650.4800000004</v>
      </c>
      <c r="M173" s="2">
        <v>0</v>
      </c>
      <c r="N173" s="12">
        <v>543233.30000000005</v>
      </c>
      <c r="O173" s="2">
        <v>0</v>
      </c>
      <c r="P173" s="2">
        <v>0</v>
      </c>
      <c r="Q173" s="2">
        <v>0</v>
      </c>
      <c r="R173" s="2">
        <v>0</v>
      </c>
      <c r="S173" s="8" t="str">
        <f t="shared" si="6"/>
        <v>30500010084001800282679</v>
      </c>
      <c r="T173" s="14" t="str">
        <f>IFERROR(VLOOKUP(S173,AFIP!$F$2:$R$999999,12,FALSE),"NO")</f>
        <v>NO</v>
      </c>
      <c r="U173" s="10" t="str">
        <f t="shared" si="7"/>
        <v>NO</v>
      </c>
      <c r="V173" s="10" t="str">
        <f>IFERROR(VLOOKUP(S173,AFIP!$F$2:$R$999999,13,FALSE),"NO")</f>
        <v>NO</v>
      </c>
      <c r="W173" s="1" t="str">
        <f t="shared" si="8"/>
        <v>NO</v>
      </c>
    </row>
    <row r="174" spans="1:23" x14ac:dyDescent="0.25">
      <c r="A174" s="1" t="s">
        <v>147</v>
      </c>
      <c r="B174" s="1" t="s">
        <v>237</v>
      </c>
      <c r="C174" s="1" t="s">
        <v>19</v>
      </c>
      <c r="D174" s="1">
        <v>30500010084</v>
      </c>
      <c r="E174" s="1" t="s">
        <v>20</v>
      </c>
      <c r="F174" s="1" t="s">
        <v>365</v>
      </c>
      <c r="G174" s="1" t="s">
        <v>53</v>
      </c>
      <c r="H174" s="1" t="s">
        <v>54</v>
      </c>
      <c r="I174" s="1" t="s">
        <v>503</v>
      </c>
      <c r="J174" s="2">
        <v>0</v>
      </c>
      <c r="K174" s="12">
        <v>77604.759999999995</v>
      </c>
      <c r="L174" s="2">
        <v>0</v>
      </c>
      <c r="M174" s="2">
        <v>77604.759999999995</v>
      </c>
      <c r="N174" s="12">
        <v>0</v>
      </c>
      <c r="O174" s="2">
        <v>0</v>
      </c>
      <c r="P174" s="2">
        <v>0</v>
      </c>
      <c r="Q174" s="2">
        <v>0</v>
      </c>
      <c r="R174" s="2">
        <v>0</v>
      </c>
      <c r="S174" s="8" t="str">
        <f t="shared" si="6"/>
        <v>30500010084001800282679</v>
      </c>
      <c r="T174" s="14" t="str">
        <f>IFERROR(VLOOKUP(S174,AFIP!$F$2:$R$999999,12,FALSE),"NO")</f>
        <v>NO</v>
      </c>
      <c r="U174" s="10" t="str">
        <f t="shared" si="7"/>
        <v>NO</v>
      </c>
      <c r="V174" s="10" t="str">
        <f>IFERROR(VLOOKUP(S174,AFIP!$F$2:$R$999999,13,FALSE),"NO")</f>
        <v>NO</v>
      </c>
      <c r="W174" s="1" t="str">
        <f t="shared" si="8"/>
        <v>NO</v>
      </c>
    </row>
    <row r="175" spans="1:23" hidden="1" x14ac:dyDescent="0.25">
      <c r="A175" s="1" t="s">
        <v>91</v>
      </c>
      <c r="B175" s="1" t="s">
        <v>92</v>
      </c>
      <c r="C175" s="1" t="s">
        <v>19</v>
      </c>
      <c r="D175" s="1">
        <v>30601652044</v>
      </c>
      <c r="E175" s="1" t="s">
        <v>20</v>
      </c>
      <c r="F175" s="1" t="s">
        <v>365</v>
      </c>
      <c r="G175" s="1" t="s">
        <v>53</v>
      </c>
      <c r="H175" s="1" t="s">
        <v>54</v>
      </c>
      <c r="I175" s="1" t="s">
        <v>504</v>
      </c>
      <c r="J175" s="2">
        <v>21</v>
      </c>
      <c r="K175" s="12">
        <v>3131.87</v>
      </c>
      <c r="L175" s="2">
        <v>2588.3200000000002</v>
      </c>
      <c r="M175" s="2">
        <v>0</v>
      </c>
      <c r="N175" s="12">
        <v>543.54999999999995</v>
      </c>
      <c r="O175" s="2">
        <v>0</v>
      </c>
      <c r="P175" s="2">
        <v>0</v>
      </c>
      <c r="Q175" s="2">
        <v>0</v>
      </c>
      <c r="R175" s="2">
        <v>0</v>
      </c>
      <c r="S175" s="8" t="str">
        <f t="shared" si="6"/>
        <v>30601652044001900003764</v>
      </c>
      <c r="T175" s="14">
        <f>IFERROR(VLOOKUP(S175,AFIP!$F$2:$R$999999,12,FALSE),"NO")</f>
        <v>543.54999999999995</v>
      </c>
      <c r="U175" s="10" t="str">
        <f t="shared" si="7"/>
        <v>SI</v>
      </c>
      <c r="V175" s="10">
        <f>IFERROR(VLOOKUP(S175,AFIP!$F$2:$R$999999,13,FALSE),"NO")</f>
        <v>3131.87</v>
      </c>
      <c r="W175" s="1" t="str">
        <f t="shared" si="8"/>
        <v>SI</v>
      </c>
    </row>
    <row r="176" spans="1:23" x14ac:dyDescent="0.25">
      <c r="A176" s="1" t="s">
        <v>33</v>
      </c>
      <c r="B176" s="1" t="s">
        <v>34</v>
      </c>
      <c r="C176" s="1" t="s">
        <v>19</v>
      </c>
      <c r="D176" s="1">
        <v>33708336969</v>
      </c>
      <c r="E176" s="1" t="s">
        <v>20</v>
      </c>
      <c r="F176" s="1" t="s">
        <v>365</v>
      </c>
      <c r="G176" s="1" t="s">
        <v>53</v>
      </c>
      <c r="H176" s="1" t="s">
        <v>54</v>
      </c>
      <c r="I176" s="1" t="s">
        <v>505</v>
      </c>
      <c r="J176" s="2">
        <v>21</v>
      </c>
      <c r="K176" s="12">
        <v>6500</v>
      </c>
      <c r="L176" s="2">
        <v>5371.9</v>
      </c>
      <c r="M176" s="2">
        <v>0</v>
      </c>
      <c r="N176" s="12">
        <v>1128.0999999999999</v>
      </c>
      <c r="O176" s="2">
        <v>0</v>
      </c>
      <c r="P176" s="2">
        <v>0</v>
      </c>
      <c r="Q176" s="2">
        <v>0</v>
      </c>
      <c r="R176" s="2">
        <v>0</v>
      </c>
      <c r="S176" s="8" t="str">
        <f t="shared" si="6"/>
        <v>33708336969003600011961</v>
      </c>
      <c r="T176" s="14" t="str">
        <f>IFERROR(VLOOKUP(S176,AFIP!$F$2:$R$999999,12,FALSE),"NO")</f>
        <v>NO</v>
      </c>
      <c r="U176" s="10" t="str">
        <f t="shared" si="7"/>
        <v>NO</v>
      </c>
      <c r="V176" s="10" t="str">
        <f>IFERROR(VLOOKUP(S176,AFIP!$F$2:$R$999999,13,FALSE),"NO")</f>
        <v>NO</v>
      </c>
      <c r="W176" s="1" t="str">
        <f t="shared" si="8"/>
        <v>NO</v>
      </c>
    </row>
    <row r="177" spans="1:23" x14ac:dyDescent="0.25">
      <c r="A177" s="1" t="s">
        <v>1042</v>
      </c>
      <c r="B177" s="1" t="s">
        <v>1043</v>
      </c>
      <c r="C177" s="1" t="s">
        <v>19</v>
      </c>
      <c r="D177" s="1">
        <v>30707394028</v>
      </c>
      <c r="E177" s="1" t="s">
        <v>20</v>
      </c>
      <c r="F177" s="1" t="s">
        <v>365</v>
      </c>
      <c r="G177" s="1" t="s">
        <v>53</v>
      </c>
      <c r="H177" s="1" t="s">
        <v>54</v>
      </c>
      <c r="I177" s="1" t="s">
        <v>1083</v>
      </c>
      <c r="J177" s="2">
        <v>21</v>
      </c>
      <c r="K177" s="12">
        <v>70029.600000000006</v>
      </c>
      <c r="L177" s="2">
        <v>57875.7</v>
      </c>
      <c r="M177" s="2">
        <v>0</v>
      </c>
      <c r="N177" s="12">
        <v>12153.9</v>
      </c>
      <c r="O177" s="2">
        <v>0</v>
      </c>
      <c r="P177" s="2">
        <v>0</v>
      </c>
      <c r="Q177" s="2">
        <v>0</v>
      </c>
      <c r="R177" s="2">
        <v>0</v>
      </c>
      <c r="S177" s="8" t="str">
        <f t="shared" si="6"/>
        <v>30707394028006300038241</v>
      </c>
      <c r="T177" s="14" t="str">
        <f>IFERROR(VLOOKUP(S177,AFIP!$F$2:$R$999999,12,FALSE),"NO")</f>
        <v>NO</v>
      </c>
      <c r="U177" s="10" t="str">
        <f t="shared" si="7"/>
        <v>NO</v>
      </c>
      <c r="V177" s="10" t="str">
        <f>IFERROR(VLOOKUP(S177,AFIP!$F$2:$R$999999,13,FALSE),"NO")</f>
        <v>NO</v>
      </c>
      <c r="W177" s="1" t="str">
        <f t="shared" si="8"/>
        <v>NO</v>
      </c>
    </row>
    <row r="178" spans="1:23" x14ac:dyDescent="0.25">
      <c r="A178" s="1" t="s">
        <v>1042</v>
      </c>
      <c r="B178" s="1" t="s">
        <v>1043</v>
      </c>
      <c r="C178" s="1" t="s">
        <v>19</v>
      </c>
      <c r="D178" s="1">
        <v>30707394028</v>
      </c>
      <c r="E178" s="1" t="s">
        <v>20</v>
      </c>
      <c r="F178" s="1" t="s">
        <v>365</v>
      </c>
      <c r="G178" s="1" t="s">
        <v>53</v>
      </c>
      <c r="H178" s="1" t="s">
        <v>54</v>
      </c>
      <c r="I178" s="1" t="s">
        <v>1083</v>
      </c>
      <c r="J178" s="2">
        <v>0</v>
      </c>
      <c r="K178" s="12">
        <v>12976.81</v>
      </c>
      <c r="L178" s="2">
        <v>0</v>
      </c>
      <c r="M178" s="2">
        <v>12976.81</v>
      </c>
      <c r="N178" s="12">
        <v>0</v>
      </c>
      <c r="O178" s="2">
        <v>0</v>
      </c>
      <c r="P178" s="2">
        <v>0</v>
      </c>
      <c r="Q178" s="2">
        <v>0</v>
      </c>
      <c r="R178" s="2">
        <v>0</v>
      </c>
      <c r="S178" s="8" t="str">
        <f t="shared" si="6"/>
        <v>30707394028006300038241</v>
      </c>
      <c r="T178" s="14" t="str">
        <f>IFERROR(VLOOKUP(S178,AFIP!$F$2:$R$999999,12,FALSE),"NO")</f>
        <v>NO</v>
      </c>
      <c r="U178" s="10" t="str">
        <f t="shared" si="7"/>
        <v>NO</v>
      </c>
      <c r="V178" s="10" t="str">
        <f>IFERROR(VLOOKUP(S178,AFIP!$F$2:$R$999999,13,FALSE),"NO")</f>
        <v>NO</v>
      </c>
      <c r="W178" s="1" t="str">
        <f t="shared" si="8"/>
        <v>NO</v>
      </c>
    </row>
    <row r="179" spans="1:23" hidden="1" x14ac:dyDescent="0.25">
      <c r="A179" s="1" t="s">
        <v>45</v>
      </c>
      <c r="B179" s="1" t="s">
        <v>46</v>
      </c>
      <c r="C179" s="1" t="s">
        <v>19</v>
      </c>
      <c r="D179" s="1">
        <v>30653075002</v>
      </c>
      <c r="E179" s="1" t="s">
        <v>20</v>
      </c>
      <c r="F179" s="1" t="s">
        <v>365</v>
      </c>
      <c r="G179" s="1" t="s">
        <v>53</v>
      </c>
      <c r="H179" s="1" t="s">
        <v>54</v>
      </c>
      <c r="I179" s="1" t="s">
        <v>506</v>
      </c>
      <c r="J179" s="2">
        <v>21</v>
      </c>
      <c r="K179" s="12">
        <v>17833202.640000001</v>
      </c>
      <c r="L179" s="2">
        <v>14738184</v>
      </c>
      <c r="M179" s="2">
        <v>0</v>
      </c>
      <c r="N179" s="12">
        <v>3095018.64</v>
      </c>
      <c r="O179" s="2">
        <v>0</v>
      </c>
      <c r="P179" s="2">
        <v>0</v>
      </c>
      <c r="Q179" s="2">
        <v>0</v>
      </c>
      <c r="R179" s="2">
        <v>0</v>
      </c>
      <c r="S179" s="8" t="str">
        <f t="shared" si="6"/>
        <v>30653075002010000065155</v>
      </c>
      <c r="T179" s="14">
        <f>IFERROR(VLOOKUP(S179,AFIP!$F$2:$R$999999,12,FALSE),"NO")</f>
        <v>3095018.64</v>
      </c>
      <c r="U179" s="10" t="str">
        <f t="shared" si="7"/>
        <v>SI</v>
      </c>
      <c r="V179" s="10">
        <f>IFERROR(VLOOKUP(S179,AFIP!$F$2:$R$999999,13,FALSE),"NO")</f>
        <v>17833202.640000001</v>
      </c>
      <c r="W179" s="1" t="str">
        <f t="shared" si="8"/>
        <v>SI</v>
      </c>
    </row>
    <row r="180" spans="1:23" hidden="1" x14ac:dyDescent="0.25">
      <c r="A180" s="1" t="s">
        <v>45</v>
      </c>
      <c r="B180" s="1" t="s">
        <v>46</v>
      </c>
      <c r="C180" s="1" t="s">
        <v>19</v>
      </c>
      <c r="D180" s="1">
        <v>30653075002</v>
      </c>
      <c r="E180" s="1" t="s">
        <v>20</v>
      </c>
      <c r="F180" s="1" t="s">
        <v>365</v>
      </c>
      <c r="G180" s="1" t="s">
        <v>53</v>
      </c>
      <c r="H180" s="1" t="s">
        <v>54</v>
      </c>
      <c r="I180" s="1" t="s">
        <v>507</v>
      </c>
      <c r="J180" s="2">
        <v>21</v>
      </c>
      <c r="K180" s="12">
        <v>15117410.880000001</v>
      </c>
      <c r="L180" s="2">
        <v>12493728.01</v>
      </c>
      <c r="M180" s="2">
        <v>0</v>
      </c>
      <c r="N180" s="12">
        <v>2623682.87</v>
      </c>
      <c r="O180" s="2">
        <v>0</v>
      </c>
      <c r="P180" s="2">
        <v>0</v>
      </c>
      <c r="Q180" s="2">
        <v>0</v>
      </c>
      <c r="R180" s="2">
        <v>0</v>
      </c>
      <c r="S180" s="8" t="str">
        <f t="shared" si="6"/>
        <v>30653075002010000065156</v>
      </c>
      <c r="T180" s="14">
        <f>IFERROR(VLOOKUP(S180,AFIP!$F$2:$R$999999,12,FALSE),"NO")</f>
        <v>2623682.88</v>
      </c>
      <c r="U180" s="10" t="str">
        <f t="shared" si="7"/>
        <v>NO</v>
      </c>
      <c r="V180" s="10">
        <f>IFERROR(VLOOKUP(S180,AFIP!$F$2:$R$999999,13,FALSE),"NO")</f>
        <v>15117410.880000001</v>
      </c>
      <c r="W180" s="1" t="str">
        <f t="shared" si="8"/>
        <v>SI</v>
      </c>
    </row>
    <row r="181" spans="1:23" x14ac:dyDescent="0.25">
      <c r="A181" s="1" t="s">
        <v>1084</v>
      </c>
      <c r="B181" s="1" t="s">
        <v>1085</v>
      </c>
      <c r="C181" s="1" t="s">
        <v>19</v>
      </c>
      <c r="D181" s="1">
        <v>30690887661</v>
      </c>
      <c r="E181" s="1" t="s">
        <v>20</v>
      </c>
      <c r="F181" s="1" t="s">
        <v>365</v>
      </c>
      <c r="G181" s="1" t="s">
        <v>53</v>
      </c>
      <c r="H181" s="1" t="s">
        <v>54</v>
      </c>
      <c r="I181" s="1" t="s">
        <v>1086</v>
      </c>
      <c r="J181" s="2">
        <v>21</v>
      </c>
      <c r="K181" s="12">
        <v>10499.97</v>
      </c>
      <c r="L181" s="2">
        <v>8677.66</v>
      </c>
      <c r="M181" s="2">
        <v>0</v>
      </c>
      <c r="N181" s="12">
        <v>1822.31</v>
      </c>
      <c r="O181" s="2">
        <v>0</v>
      </c>
      <c r="P181" s="2">
        <v>0</v>
      </c>
      <c r="Q181" s="2">
        <v>0</v>
      </c>
      <c r="R181" s="2">
        <v>0</v>
      </c>
      <c r="S181" s="8" t="str">
        <f t="shared" si="6"/>
        <v>30690887661010600007225</v>
      </c>
      <c r="T181" s="14" t="str">
        <f>IFERROR(VLOOKUP(S181,AFIP!$F$2:$R$999999,12,FALSE),"NO")</f>
        <v>NO</v>
      </c>
      <c r="U181" s="10" t="str">
        <f t="shared" si="7"/>
        <v>NO</v>
      </c>
      <c r="V181" s="10" t="str">
        <f>IFERROR(VLOOKUP(S181,AFIP!$F$2:$R$999999,13,FALSE),"NO")</f>
        <v>NO</v>
      </c>
      <c r="W181" s="1" t="str">
        <f t="shared" si="8"/>
        <v>NO</v>
      </c>
    </row>
    <row r="182" spans="1:23" x14ac:dyDescent="0.25">
      <c r="A182" s="1" t="s">
        <v>1084</v>
      </c>
      <c r="B182" s="1" t="s">
        <v>1085</v>
      </c>
      <c r="C182" s="1" t="s">
        <v>19</v>
      </c>
      <c r="D182" s="1">
        <v>30690887661</v>
      </c>
      <c r="E182" s="1" t="s">
        <v>20</v>
      </c>
      <c r="F182" s="1" t="s">
        <v>365</v>
      </c>
      <c r="G182" s="1" t="s">
        <v>53</v>
      </c>
      <c r="H182" s="1" t="s">
        <v>54</v>
      </c>
      <c r="I182" s="1" t="s">
        <v>1086</v>
      </c>
      <c r="J182" s="2">
        <v>0</v>
      </c>
      <c r="K182" s="12">
        <v>0.03</v>
      </c>
      <c r="L182" s="2">
        <v>0</v>
      </c>
      <c r="M182" s="2">
        <v>0.03</v>
      </c>
      <c r="N182" s="12">
        <v>0</v>
      </c>
      <c r="O182" s="2">
        <v>0</v>
      </c>
      <c r="P182" s="2">
        <v>0</v>
      </c>
      <c r="Q182" s="2">
        <v>0</v>
      </c>
      <c r="R182" s="2">
        <v>0</v>
      </c>
      <c r="S182" s="8" t="str">
        <f t="shared" si="6"/>
        <v>30690887661010600007225</v>
      </c>
      <c r="T182" s="14" t="str">
        <f>IFERROR(VLOOKUP(S182,AFIP!$F$2:$R$999999,12,FALSE),"NO")</f>
        <v>NO</v>
      </c>
      <c r="U182" s="10" t="str">
        <f t="shared" si="7"/>
        <v>NO</v>
      </c>
      <c r="V182" s="10" t="str">
        <f>IFERROR(VLOOKUP(S182,AFIP!$F$2:$R$999999,13,FALSE),"NO")</f>
        <v>NO</v>
      </c>
      <c r="W182" s="1" t="str">
        <f t="shared" si="8"/>
        <v>NO</v>
      </c>
    </row>
    <row r="183" spans="1:23" hidden="1" x14ac:dyDescent="0.25">
      <c r="A183" s="1" t="s">
        <v>31</v>
      </c>
      <c r="B183" s="1" t="s">
        <v>32</v>
      </c>
      <c r="C183" s="1" t="s">
        <v>19</v>
      </c>
      <c r="D183" s="1">
        <v>30500529071</v>
      </c>
      <c r="E183" s="1" t="s">
        <v>20</v>
      </c>
      <c r="F183" s="1" t="s">
        <v>365</v>
      </c>
      <c r="G183" s="1" t="s">
        <v>53</v>
      </c>
      <c r="H183" s="1" t="s">
        <v>54</v>
      </c>
      <c r="I183" s="1" t="s">
        <v>508</v>
      </c>
      <c r="J183" s="2">
        <v>21</v>
      </c>
      <c r="K183" s="12">
        <v>30814817.899999999</v>
      </c>
      <c r="L183" s="2">
        <v>24359539.850000001</v>
      </c>
      <c r="M183" s="2">
        <v>0</v>
      </c>
      <c r="N183" s="12">
        <v>5115503.3499999996</v>
      </c>
      <c r="O183" s="2">
        <v>730786.19</v>
      </c>
      <c r="P183" s="2">
        <v>608988.51</v>
      </c>
      <c r="Q183" s="2">
        <v>0</v>
      </c>
      <c r="R183" s="2">
        <v>0</v>
      </c>
      <c r="S183" s="8" t="str">
        <f t="shared" si="6"/>
        <v>30500529071021500100311</v>
      </c>
      <c r="T183" s="14">
        <f>IFERROR(VLOOKUP(S183,AFIP!$F$2:$R$999999,12,FALSE),"NO")</f>
        <v>5115503.37</v>
      </c>
      <c r="U183" s="10" t="str">
        <f t="shared" si="7"/>
        <v>NO</v>
      </c>
      <c r="V183" s="10">
        <f>IFERROR(VLOOKUP(S183,AFIP!$F$2:$R$999999,13,FALSE),"NO")</f>
        <v>30814817.899999999</v>
      </c>
      <c r="W183" s="1" t="str">
        <f t="shared" si="8"/>
        <v>SI</v>
      </c>
    </row>
    <row r="184" spans="1:23" hidden="1" x14ac:dyDescent="0.25">
      <c r="A184" s="1" t="s">
        <v>31</v>
      </c>
      <c r="B184" s="1" t="s">
        <v>32</v>
      </c>
      <c r="C184" s="1" t="s">
        <v>19</v>
      </c>
      <c r="D184" s="1">
        <v>30500529071</v>
      </c>
      <c r="E184" s="1" t="s">
        <v>20</v>
      </c>
      <c r="F184" s="1" t="s">
        <v>365</v>
      </c>
      <c r="G184" s="1" t="s">
        <v>53</v>
      </c>
      <c r="H184" s="1" t="s">
        <v>54</v>
      </c>
      <c r="I184" s="1" t="s">
        <v>509</v>
      </c>
      <c r="J184" s="2">
        <v>21</v>
      </c>
      <c r="K184" s="12">
        <v>251249.01</v>
      </c>
      <c r="L184" s="2">
        <v>198615.81</v>
      </c>
      <c r="M184" s="2">
        <v>0</v>
      </c>
      <c r="N184" s="12">
        <v>41709.32</v>
      </c>
      <c r="O184" s="2">
        <v>5958.48</v>
      </c>
      <c r="P184" s="2">
        <v>4965.3999999999996</v>
      </c>
      <c r="Q184" s="2">
        <v>0</v>
      </c>
      <c r="R184" s="2">
        <v>0</v>
      </c>
      <c r="S184" s="8" t="str">
        <f t="shared" si="6"/>
        <v>30500529071021500100312</v>
      </c>
      <c r="T184" s="14">
        <f>IFERROR(VLOOKUP(S184,AFIP!$F$2:$R$999999,12,FALSE),"NO")</f>
        <v>41709.32</v>
      </c>
      <c r="U184" s="10" t="str">
        <f t="shared" si="7"/>
        <v>SI</v>
      </c>
      <c r="V184" s="10">
        <f>IFERROR(VLOOKUP(S184,AFIP!$F$2:$R$999999,13,FALSE),"NO")</f>
        <v>251249.01</v>
      </c>
      <c r="W184" s="1" t="str">
        <f t="shared" si="8"/>
        <v>SI</v>
      </c>
    </row>
    <row r="185" spans="1:23" hidden="1" x14ac:dyDescent="0.25">
      <c r="A185" s="1" t="s">
        <v>101</v>
      </c>
      <c r="B185" s="1" t="s">
        <v>102</v>
      </c>
      <c r="C185" s="1" t="s">
        <v>19</v>
      </c>
      <c r="D185" s="1">
        <v>30663288497</v>
      </c>
      <c r="E185" s="1" t="s">
        <v>20</v>
      </c>
      <c r="F185" s="1" t="s">
        <v>365</v>
      </c>
      <c r="G185" s="1" t="s">
        <v>53</v>
      </c>
      <c r="H185" s="1" t="s">
        <v>54</v>
      </c>
      <c r="I185" s="1" t="s">
        <v>510</v>
      </c>
      <c r="J185" s="2">
        <v>21</v>
      </c>
      <c r="K185" s="12">
        <v>152213.10999999999</v>
      </c>
      <c r="L185" s="2">
        <v>122752.5</v>
      </c>
      <c r="M185" s="2">
        <v>0</v>
      </c>
      <c r="N185" s="12">
        <v>25778.03</v>
      </c>
      <c r="O185" s="2">
        <v>3682.58</v>
      </c>
      <c r="P185" s="2">
        <v>0</v>
      </c>
      <c r="Q185" s="2">
        <v>0</v>
      </c>
      <c r="R185" s="2">
        <v>0</v>
      </c>
      <c r="S185" s="8" t="str">
        <f t="shared" si="6"/>
        <v>30663288497133101426453</v>
      </c>
      <c r="T185" s="14">
        <f>IFERROR(VLOOKUP(S185,AFIP!$F$2:$R$999999,12,FALSE),"NO")</f>
        <v>116755.21</v>
      </c>
      <c r="U185" s="10" t="str">
        <f t="shared" si="7"/>
        <v>NO</v>
      </c>
      <c r="V185" s="10">
        <f>IFERROR(VLOOKUP(S185,AFIP!$F$2:$R$999999,13,FALSE),"NO")</f>
        <v>607985.72</v>
      </c>
      <c r="W185" s="1" t="str">
        <f t="shared" si="8"/>
        <v>NO</v>
      </c>
    </row>
    <row r="186" spans="1:23" hidden="1" x14ac:dyDescent="0.25">
      <c r="A186" s="1" t="s">
        <v>101</v>
      </c>
      <c r="B186" s="1" t="s">
        <v>102</v>
      </c>
      <c r="C186" s="1" t="s">
        <v>19</v>
      </c>
      <c r="D186" s="1">
        <v>30663288497</v>
      </c>
      <c r="E186" s="1" t="s">
        <v>20</v>
      </c>
      <c r="F186" s="1" t="s">
        <v>365</v>
      </c>
      <c r="G186" s="1" t="s">
        <v>53</v>
      </c>
      <c r="H186" s="1" t="s">
        <v>54</v>
      </c>
      <c r="I186" s="1" t="s">
        <v>510</v>
      </c>
      <c r="J186" s="2">
        <v>27</v>
      </c>
      <c r="K186" s="12">
        <v>438038.26</v>
      </c>
      <c r="L186" s="2">
        <v>336952.5</v>
      </c>
      <c r="M186" s="2">
        <v>0</v>
      </c>
      <c r="N186" s="12">
        <v>90977.18</v>
      </c>
      <c r="O186" s="2">
        <v>10108.58</v>
      </c>
      <c r="P186" s="2">
        <v>0</v>
      </c>
      <c r="Q186" s="2">
        <v>0</v>
      </c>
      <c r="R186" s="2">
        <v>0</v>
      </c>
      <c r="S186" s="8" t="str">
        <f t="shared" si="6"/>
        <v>30663288497133101426453</v>
      </c>
      <c r="T186" s="14">
        <f>IFERROR(VLOOKUP(S186,AFIP!$F$2:$R$999999,12,FALSE),"NO")</f>
        <v>116755.21</v>
      </c>
      <c r="U186" s="10" t="str">
        <f t="shared" si="7"/>
        <v>NO</v>
      </c>
      <c r="V186" s="10">
        <f>IFERROR(VLOOKUP(S186,AFIP!$F$2:$R$999999,13,FALSE),"NO")</f>
        <v>607985.72</v>
      </c>
      <c r="W186" s="1" t="str">
        <f t="shared" si="8"/>
        <v>NO</v>
      </c>
    </row>
    <row r="187" spans="1:23" hidden="1" x14ac:dyDescent="0.25">
      <c r="A187" s="1" t="s">
        <v>101</v>
      </c>
      <c r="B187" s="1" t="s">
        <v>102</v>
      </c>
      <c r="C187" s="1" t="s">
        <v>19</v>
      </c>
      <c r="D187" s="1">
        <v>30663288497</v>
      </c>
      <c r="E187" s="1" t="s">
        <v>20</v>
      </c>
      <c r="F187" s="1" t="s">
        <v>365</v>
      </c>
      <c r="G187" s="1" t="s">
        <v>53</v>
      </c>
      <c r="H187" s="1" t="s">
        <v>54</v>
      </c>
      <c r="I187" s="1" t="s">
        <v>510</v>
      </c>
      <c r="J187" s="2">
        <v>0</v>
      </c>
      <c r="K187" s="12">
        <v>17734.36</v>
      </c>
      <c r="L187" s="2">
        <v>0</v>
      </c>
      <c r="M187" s="2">
        <v>17734.36</v>
      </c>
      <c r="N187" s="12">
        <v>0</v>
      </c>
      <c r="O187" s="2">
        <v>0</v>
      </c>
      <c r="P187" s="2">
        <v>0</v>
      </c>
      <c r="Q187" s="2">
        <v>0</v>
      </c>
      <c r="R187" s="2">
        <v>0</v>
      </c>
      <c r="S187" s="8" t="str">
        <f t="shared" si="6"/>
        <v>30663288497133101426453</v>
      </c>
      <c r="T187" s="14">
        <f>IFERROR(VLOOKUP(S187,AFIP!$F$2:$R$999999,12,FALSE),"NO")</f>
        <v>116755.21</v>
      </c>
      <c r="U187" s="10" t="str">
        <f t="shared" si="7"/>
        <v>NO</v>
      </c>
      <c r="V187" s="10">
        <f>IFERROR(VLOOKUP(S187,AFIP!$F$2:$R$999999,13,FALSE),"NO")</f>
        <v>607985.72</v>
      </c>
      <c r="W187" s="1" t="str">
        <f t="shared" si="8"/>
        <v>NO</v>
      </c>
    </row>
    <row r="188" spans="1:23" hidden="1" x14ac:dyDescent="0.25">
      <c r="A188" s="1" t="s">
        <v>103</v>
      </c>
      <c r="B188" s="1" t="s">
        <v>104</v>
      </c>
      <c r="C188" s="1" t="s">
        <v>19</v>
      </c>
      <c r="D188" s="1">
        <v>20377100965</v>
      </c>
      <c r="E188" s="1" t="s">
        <v>63</v>
      </c>
      <c r="F188" s="1" t="s">
        <v>365</v>
      </c>
      <c r="G188" s="1" t="s">
        <v>53</v>
      </c>
      <c r="H188" s="1" t="s">
        <v>59</v>
      </c>
      <c r="I188" s="1" t="s">
        <v>511</v>
      </c>
      <c r="J188" s="2">
        <v>0</v>
      </c>
      <c r="K188" s="12">
        <v>668000</v>
      </c>
      <c r="L188" s="2">
        <v>0</v>
      </c>
      <c r="M188" s="2">
        <v>668000</v>
      </c>
      <c r="N188" s="12">
        <v>0</v>
      </c>
      <c r="O188" s="2">
        <v>0</v>
      </c>
      <c r="P188" s="2">
        <v>0</v>
      </c>
      <c r="Q188" s="2">
        <v>0</v>
      </c>
      <c r="R188" s="2">
        <v>0</v>
      </c>
      <c r="S188" s="8" t="str">
        <f t="shared" si="6"/>
        <v>20377100965000100000253</v>
      </c>
      <c r="T188" s="14">
        <f>IFERROR(VLOOKUP(S188,AFIP!$F$2:$R$999999,12,FALSE),"NO")</f>
        <v>0</v>
      </c>
      <c r="U188" s="10" t="str">
        <f t="shared" si="7"/>
        <v>SI</v>
      </c>
      <c r="V188" s="10">
        <f>IFERROR(VLOOKUP(S188,AFIP!$F$2:$R$999999,13,FALSE),"NO")</f>
        <v>668000</v>
      </c>
      <c r="W188" s="1" t="str">
        <f t="shared" si="8"/>
        <v>SI</v>
      </c>
    </row>
    <row r="189" spans="1:23" hidden="1" x14ac:dyDescent="0.25">
      <c r="A189" s="1" t="s">
        <v>105</v>
      </c>
      <c r="B189" s="1" t="s">
        <v>106</v>
      </c>
      <c r="C189" s="1" t="s">
        <v>19</v>
      </c>
      <c r="D189" s="1">
        <v>20399678553</v>
      </c>
      <c r="E189" s="1" t="s">
        <v>63</v>
      </c>
      <c r="F189" s="1" t="s">
        <v>365</v>
      </c>
      <c r="G189" s="1" t="s">
        <v>53</v>
      </c>
      <c r="H189" s="1" t="s">
        <v>59</v>
      </c>
      <c r="I189" s="1" t="s">
        <v>512</v>
      </c>
      <c r="J189" s="2">
        <v>0</v>
      </c>
      <c r="K189" s="12">
        <v>668000</v>
      </c>
      <c r="L189" s="2">
        <v>0</v>
      </c>
      <c r="M189" s="2">
        <v>668000</v>
      </c>
      <c r="N189" s="12">
        <v>0</v>
      </c>
      <c r="O189" s="2">
        <v>0</v>
      </c>
      <c r="P189" s="2">
        <v>0</v>
      </c>
      <c r="Q189" s="2">
        <v>0</v>
      </c>
      <c r="R189" s="2">
        <v>0</v>
      </c>
      <c r="S189" s="8" t="str">
        <f t="shared" si="6"/>
        <v>20399678553000100000262</v>
      </c>
      <c r="T189" s="14">
        <f>IFERROR(VLOOKUP(S189,AFIP!$F$2:$R$999999,12,FALSE),"NO")</f>
        <v>0</v>
      </c>
      <c r="U189" s="10" t="str">
        <f t="shared" si="7"/>
        <v>SI</v>
      </c>
      <c r="V189" s="10">
        <f>IFERROR(VLOOKUP(S189,AFIP!$F$2:$R$999999,13,FALSE),"NO")</f>
        <v>668000</v>
      </c>
      <c r="W189" s="1" t="str">
        <f t="shared" si="8"/>
        <v>SI</v>
      </c>
    </row>
    <row r="190" spans="1:23" hidden="1" x14ac:dyDescent="0.25">
      <c r="A190" s="1" t="s">
        <v>109</v>
      </c>
      <c r="B190" s="1" t="s">
        <v>110</v>
      </c>
      <c r="C190" s="1" t="s">
        <v>19</v>
      </c>
      <c r="D190" s="1">
        <v>23345365389</v>
      </c>
      <c r="E190" s="1" t="s">
        <v>63</v>
      </c>
      <c r="F190" s="1" t="s">
        <v>365</v>
      </c>
      <c r="G190" s="1" t="s">
        <v>53</v>
      </c>
      <c r="H190" s="1" t="s">
        <v>59</v>
      </c>
      <c r="I190" s="1" t="s">
        <v>513</v>
      </c>
      <c r="J190" s="2">
        <v>0</v>
      </c>
      <c r="K190" s="12">
        <v>668000</v>
      </c>
      <c r="L190" s="2">
        <v>0</v>
      </c>
      <c r="M190" s="2">
        <v>668000</v>
      </c>
      <c r="N190" s="12">
        <v>0</v>
      </c>
      <c r="O190" s="2">
        <v>0</v>
      </c>
      <c r="P190" s="2">
        <v>0</v>
      </c>
      <c r="Q190" s="2">
        <v>0</v>
      </c>
      <c r="R190" s="2">
        <v>0</v>
      </c>
      <c r="S190" s="8" t="str">
        <f t="shared" si="6"/>
        <v>23345365389000300000415</v>
      </c>
      <c r="T190" s="14">
        <f>IFERROR(VLOOKUP(S190,AFIP!$F$2:$R$999999,12,FALSE),"NO")</f>
        <v>0</v>
      </c>
      <c r="U190" s="10" t="str">
        <f t="shared" si="7"/>
        <v>SI</v>
      </c>
      <c r="V190" s="10">
        <f>IFERROR(VLOOKUP(S190,AFIP!$F$2:$R$999999,13,FALSE),"NO")</f>
        <v>668000</v>
      </c>
      <c r="W190" s="1" t="str">
        <f t="shared" si="8"/>
        <v>SI</v>
      </c>
    </row>
    <row r="191" spans="1:23" x14ac:dyDescent="0.25">
      <c r="A191" s="1" t="s">
        <v>1064</v>
      </c>
      <c r="B191" s="1" t="s">
        <v>1065</v>
      </c>
      <c r="C191" s="1" t="s">
        <v>19</v>
      </c>
      <c r="D191" s="1">
        <v>27181146317</v>
      </c>
      <c r="E191" s="1" t="s">
        <v>63</v>
      </c>
      <c r="F191" s="1" t="s">
        <v>365</v>
      </c>
      <c r="G191" s="1" t="s">
        <v>53</v>
      </c>
      <c r="H191" s="1" t="s">
        <v>59</v>
      </c>
      <c r="I191" s="1" t="s">
        <v>1087</v>
      </c>
      <c r="J191" s="2">
        <v>21</v>
      </c>
      <c r="K191" s="12">
        <v>114983.6</v>
      </c>
      <c r="L191" s="2">
        <v>95027.77</v>
      </c>
      <c r="M191" s="2">
        <v>0</v>
      </c>
      <c r="N191" s="12">
        <v>19955.830000000002</v>
      </c>
      <c r="O191" s="2">
        <v>0</v>
      </c>
      <c r="P191" s="2">
        <v>0</v>
      </c>
      <c r="Q191" s="2">
        <v>0</v>
      </c>
      <c r="R191" s="2">
        <v>0</v>
      </c>
      <c r="S191" s="8" t="str">
        <f t="shared" si="6"/>
        <v>27181146317003400047651</v>
      </c>
      <c r="T191" s="14" t="str">
        <f>IFERROR(VLOOKUP(S191,AFIP!$F$2:$R$999999,12,FALSE),"NO")</f>
        <v>NO</v>
      </c>
      <c r="U191" s="10" t="str">
        <f t="shared" si="7"/>
        <v>NO</v>
      </c>
      <c r="V191" s="10" t="str">
        <f>IFERROR(VLOOKUP(S191,AFIP!$F$2:$R$999999,13,FALSE),"NO")</f>
        <v>NO</v>
      </c>
      <c r="W191" s="1" t="str">
        <f t="shared" si="8"/>
        <v>NO</v>
      </c>
    </row>
    <row r="192" spans="1:23" x14ac:dyDescent="0.25">
      <c r="A192" s="1" t="s">
        <v>1064</v>
      </c>
      <c r="B192" s="1" t="s">
        <v>1065</v>
      </c>
      <c r="C192" s="1" t="s">
        <v>19</v>
      </c>
      <c r="D192" s="1">
        <v>27181146317</v>
      </c>
      <c r="E192" s="1" t="s">
        <v>63</v>
      </c>
      <c r="F192" s="1" t="s">
        <v>365</v>
      </c>
      <c r="G192" s="1" t="s">
        <v>53</v>
      </c>
      <c r="H192" s="1" t="s">
        <v>59</v>
      </c>
      <c r="I192" s="1" t="s">
        <v>1087</v>
      </c>
      <c r="J192" s="2">
        <v>0</v>
      </c>
      <c r="K192" s="12">
        <v>15016.4</v>
      </c>
      <c r="L192" s="2">
        <v>0</v>
      </c>
      <c r="M192" s="2">
        <v>15016.4</v>
      </c>
      <c r="N192" s="12">
        <v>0</v>
      </c>
      <c r="O192" s="2">
        <v>0</v>
      </c>
      <c r="P192" s="2">
        <v>0</v>
      </c>
      <c r="Q192" s="2">
        <v>0</v>
      </c>
      <c r="R192" s="2">
        <v>0</v>
      </c>
      <c r="S192" s="8" t="str">
        <f t="shared" si="6"/>
        <v>27181146317003400047651</v>
      </c>
      <c r="T192" s="14" t="str">
        <f>IFERROR(VLOOKUP(S192,AFIP!$F$2:$R$999999,12,FALSE),"NO")</f>
        <v>NO</v>
      </c>
      <c r="U192" s="10" t="str">
        <f t="shared" si="7"/>
        <v>NO</v>
      </c>
      <c r="V192" s="10" t="str">
        <f>IFERROR(VLOOKUP(S192,AFIP!$F$2:$R$999999,13,FALSE),"NO")</f>
        <v>NO</v>
      </c>
      <c r="W192" s="1" t="str">
        <f t="shared" si="8"/>
        <v>NO</v>
      </c>
    </row>
    <row r="193" spans="1:23" hidden="1" x14ac:dyDescent="0.25">
      <c r="A193" s="1" t="s">
        <v>80</v>
      </c>
      <c r="B193" s="1" t="s">
        <v>81</v>
      </c>
      <c r="C193" s="1" t="s">
        <v>19</v>
      </c>
      <c r="D193" s="1">
        <v>30715231715</v>
      </c>
      <c r="E193" s="1" t="s">
        <v>20</v>
      </c>
      <c r="F193" s="1" t="s">
        <v>514</v>
      </c>
      <c r="G193" s="1" t="s">
        <v>53</v>
      </c>
      <c r="H193" s="1" t="s">
        <v>54</v>
      </c>
      <c r="I193" s="1" t="s">
        <v>515</v>
      </c>
      <c r="J193" s="2">
        <v>21</v>
      </c>
      <c r="K193" s="12">
        <v>2277432.89</v>
      </c>
      <c r="L193" s="2">
        <v>1882175.94</v>
      </c>
      <c r="M193" s="2">
        <v>0</v>
      </c>
      <c r="N193" s="12">
        <v>395256.95</v>
      </c>
      <c r="O193" s="2">
        <v>0</v>
      </c>
      <c r="P193" s="2">
        <v>0</v>
      </c>
      <c r="Q193" s="2">
        <v>0</v>
      </c>
      <c r="R193" s="2">
        <v>0</v>
      </c>
      <c r="S193" s="8" t="str">
        <f t="shared" si="6"/>
        <v>30715231715000100000792</v>
      </c>
      <c r="T193" s="14">
        <f>IFERROR(VLOOKUP(S193,AFIP!$F$2:$R$999999,12,FALSE),"NO")</f>
        <v>395256.95</v>
      </c>
      <c r="U193" s="10" t="str">
        <f t="shared" si="7"/>
        <v>SI</v>
      </c>
      <c r="V193" s="10">
        <f>IFERROR(VLOOKUP(S193,AFIP!$F$2:$R$999999,13,FALSE),"NO")</f>
        <v>2277432.89</v>
      </c>
      <c r="W193" s="1" t="str">
        <f t="shared" si="8"/>
        <v>SI</v>
      </c>
    </row>
    <row r="194" spans="1:23" hidden="1" x14ac:dyDescent="0.25">
      <c r="A194" s="1" t="s">
        <v>80</v>
      </c>
      <c r="B194" s="1" t="s">
        <v>81</v>
      </c>
      <c r="C194" s="1" t="s">
        <v>19</v>
      </c>
      <c r="D194" s="1">
        <v>30715231715</v>
      </c>
      <c r="E194" s="1" t="s">
        <v>20</v>
      </c>
      <c r="F194" s="1" t="s">
        <v>514</v>
      </c>
      <c r="G194" s="1" t="s">
        <v>53</v>
      </c>
      <c r="H194" s="1" t="s">
        <v>54</v>
      </c>
      <c r="I194" s="1" t="s">
        <v>516</v>
      </c>
      <c r="J194" s="2">
        <v>21</v>
      </c>
      <c r="K194" s="12">
        <v>2277432.89</v>
      </c>
      <c r="L194" s="2">
        <v>1882175.94</v>
      </c>
      <c r="M194" s="2">
        <v>0</v>
      </c>
      <c r="N194" s="12">
        <v>395256.95</v>
      </c>
      <c r="O194" s="2">
        <v>0</v>
      </c>
      <c r="P194" s="2">
        <v>0</v>
      </c>
      <c r="Q194" s="2">
        <v>0</v>
      </c>
      <c r="R194" s="2">
        <v>0</v>
      </c>
      <c r="S194" s="8" t="str">
        <f t="shared" si="6"/>
        <v>30715231715000100000793</v>
      </c>
      <c r="T194" s="14">
        <f>IFERROR(VLOOKUP(S194,AFIP!$F$2:$R$999999,12,FALSE),"NO")</f>
        <v>395256.95</v>
      </c>
      <c r="U194" s="10" t="str">
        <f t="shared" si="7"/>
        <v>SI</v>
      </c>
      <c r="V194" s="10">
        <f>IFERROR(VLOOKUP(S194,AFIP!$F$2:$R$999999,13,FALSE),"NO")</f>
        <v>2277432.89</v>
      </c>
      <c r="W194" s="1" t="str">
        <f t="shared" si="8"/>
        <v>SI</v>
      </c>
    </row>
    <row r="195" spans="1:23" hidden="1" x14ac:dyDescent="0.25">
      <c r="A195" s="1" t="s">
        <v>80</v>
      </c>
      <c r="B195" s="1" t="s">
        <v>81</v>
      </c>
      <c r="C195" s="1" t="s">
        <v>19</v>
      </c>
      <c r="D195" s="1">
        <v>30715231715</v>
      </c>
      <c r="E195" s="1" t="s">
        <v>20</v>
      </c>
      <c r="F195" s="1" t="s">
        <v>514</v>
      </c>
      <c r="G195" s="1" t="s">
        <v>53</v>
      </c>
      <c r="H195" s="1" t="s">
        <v>54</v>
      </c>
      <c r="I195" s="1" t="s">
        <v>517</v>
      </c>
      <c r="J195" s="2">
        <v>21</v>
      </c>
      <c r="K195" s="12">
        <v>1048505.49</v>
      </c>
      <c r="L195" s="2">
        <v>866533.46</v>
      </c>
      <c r="M195" s="2">
        <v>0</v>
      </c>
      <c r="N195" s="12">
        <v>181972.03</v>
      </c>
      <c r="O195" s="2">
        <v>0</v>
      </c>
      <c r="P195" s="2">
        <v>0</v>
      </c>
      <c r="Q195" s="2">
        <v>0</v>
      </c>
      <c r="R195" s="2">
        <v>0</v>
      </c>
      <c r="S195" s="8" t="str">
        <f t="shared" ref="S195:S258" si="9">D195&amp;I195</f>
        <v>30715231715000100000794</v>
      </c>
      <c r="T195" s="14">
        <f>IFERROR(VLOOKUP(S195,AFIP!$F$2:$R$999999,12,FALSE),"NO")</f>
        <v>181972.03</v>
      </c>
      <c r="U195" s="10" t="str">
        <f t="shared" ref="U195:U258" si="10">IF(N195=T195,"SI","NO")</f>
        <v>SI</v>
      </c>
      <c r="V195" s="10">
        <f>IFERROR(VLOOKUP(S195,AFIP!$F$2:$R$999999,13,FALSE),"NO")</f>
        <v>1048505.49</v>
      </c>
      <c r="W195" s="1" t="str">
        <f t="shared" ref="W195:W258" si="11">IF(K195=V195,"SI","NO")</f>
        <v>SI</v>
      </c>
    </row>
    <row r="196" spans="1:23" hidden="1" x14ac:dyDescent="0.25">
      <c r="A196" s="1" t="s">
        <v>80</v>
      </c>
      <c r="B196" s="1" t="s">
        <v>81</v>
      </c>
      <c r="C196" s="1" t="s">
        <v>19</v>
      </c>
      <c r="D196" s="1">
        <v>30715231715</v>
      </c>
      <c r="E196" s="1" t="s">
        <v>20</v>
      </c>
      <c r="F196" s="1" t="s">
        <v>514</v>
      </c>
      <c r="G196" s="1" t="s">
        <v>53</v>
      </c>
      <c r="H196" s="1" t="s">
        <v>54</v>
      </c>
      <c r="I196" s="1" t="s">
        <v>518</v>
      </c>
      <c r="J196" s="2">
        <v>21</v>
      </c>
      <c r="K196" s="12">
        <v>1149500</v>
      </c>
      <c r="L196" s="2">
        <v>950000</v>
      </c>
      <c r="M196" s="2">
        <v>0</v>
      </c>
      <c r="N196" s="12">
        <v>199500</v>
      </c>
      <c r="O196" s="2">
        <v>0</v>
      </c>
      <c r="P196" s="2">
        <v>0</v>
      </c>
      <c r="Q196" s="2">
        <v>0</v>
      </c>
      <c r="R196" s="2">
        <v>0</v>
      </c>
      <c r="S196" s="8" t="str">
        <f t="shared" si="9"/>
        <v>30715231715000100000795</v>
      </c>
      <c r="T196" s="14">
        <f>IFERROR(VLOOKUP(S196,AFIP!$F$2:$R$999999,12,FALSE),"NO")</f>
        <v>199500</v>
      </c>
      <c r="U196" s="10" t="str">
        <f t="shared" si="10"/>
        <v>SI</v>
      </c>
      <c r="V196" s="10">
        <f>IFERROR(VLOOKUP(S196,AFIP!$F$2:$R$999999,13,FALSE),"NO")</f>
        <v>1149500</v>
      </c>
      <c r="W196" s="1" t="str">
        <f t="shared" si="11"/>
        <v>SI</v>
      </c>
    </row>
    <row r="197" spans="1:23" hidden="1" x14ac:dyDescent="0.25">
      <c r="A197" s="1" t="s">
        <v>80</v>
      </c>
      <c r="B197" s="1" t="s">
        <v>81</v>
      </c>
      <c r="C197" s="1" t="s">
        <v>19</v>
      </c>
      <c r="D197" s="1">
        <v>30715231715</v>
      </c>
      <c r="E197" s="1" t="s">
        <v>20</v>
      </c>
      <c r="F197" s="1" t="s">
        <v>514</v>
      </c>
      <c r="G197" s="1" t="s">
        <v>53</v>
      </c>
      <c r="H197" s="1" t="s">
        <v>54</v>
      </c>
      <c r="I197" s="1" t="s">
        <v>519</v>
      </c>
      <c r="J197" s="2">
        <v>21</v>
      </c>
      <c r="K197" s="12">
        <v>922020</v>
      </c>
      <c r="L197" s="2">
        <v>762000</v>
      </c>
      <c r="M197" s="2">
        <v>0</v>
      </c>
      <c r="N197" s="12">
        <v>160020</v>
      </c>
      <c r="O197" s="2">
        <v>0</v>
      </c>
      <c r="P197" s="2">
        <v>0</v>
      </c>
      <c r="Q197" s="2">
        <v>0</v>
      </c>
      <c r="R197" s="2">
        <v>0</v>
      </c>
      <c r="S197" s="8" t="str">
        <f t="shared" si="9"/>
        <v>30715231715000100000796</v>
      </c>
      <c r="T197" s="14">
        <f>IFERROR(VLOOKUP(S197,AFIP!$F$2:$R$999999,12,FALSE),"NO")</f>
        <v>160020</v>
      </c>
      <c r="U197" s="10" t="str">
        <f t="shared" si="10"/>
        <v>SI</v>
      </c>
      <c r="V197" s="10">
        <f>IFERROR(VLOOKUP(S197,AFIP!$F$2:$R$999999,13,FALSE),"NO")</f>
        <v>922020</v>
      </c>
      <c r="W197" s="1" t="str">
        <f t="shared" si="11"/>
        <v>SI</v>
      </c>
    </row>
    <row r="198" spans="1:23" hidden="1" x14ac:dyDescent="0.25">
      <c r="A198" s="1" t="s">
        <v>84</v>
      </c>
      <c r="B198" s="1" t="s">
        <v>85</v>
      </c>
      <c r="C198" s="1" t="s">
        <v>19</v>
      </c>
      <c r="D198" s="1">
        <v>23218162029</v>
      </c>
      <c r="E198" s="1" t="s">
        <v>20</v>
      </c>
      <c r="F198" s="1" t="s">
        <v>514</v>
      </c>
      <c r="G198" s="1" t="s">
        <v>53</v>
      </c>
      <c r="H198" s="1" t="s">
        <v>54</v>
      </c>
      <c r="I198" s="1" t="s">
        <v>520</v>
      </c>
      <c r="J198" s="2">
        <v>21</v>
      </c>
      <c r="K198" s="12">
        <v>1235596.1399999999</v>
      </c>
      <c r="L198" s="2">
        <v>1021153.84</v>
      </c>
      <c r="M198" s="2">
        <v>0</v>
      </c>
      <c r="N198" s="12">
        <v>214442.31</v>
      </c>
      <c r="O198" s="2">
        <v>0</v>
      </c>
      <c r="P198" s="2">
        <v>0</v>
      </c>
      <c r="Q198" s="2">
        <v>-0.01</v>
      </c>
      <c r="R198" s="2">
        <v>0</v>
      </c>
      <c r="S198" s="8" t="str">
        <f t="shared" si="9"/>
        <v>23218162029000200000091</v>
      </c>
      <c r="T198" s="14">
        <f>IFERROR(VLOOKUP(S198,AFIP!$F$2:$R$999999,12,FALSE),"NO")</f>
        <v>214442.3</v>
      </c>
      <c r="U198" s="10" t="str">
        <f t="shared" si="10"/>
        <v>NO</v>
      </c>
      <c r="V198" s="10">
        <f>IFERROR(VLOOKUP(S198,AFIP!$F$2:$R$999999,13,FALSE),"NO")</f>
        <v>1235596.1399999999</v>
      </c>
      <c r="W198" s="1" t="str">
        <f t="shared" si="11"/>
        <v>SI</v>
      </c>
    </row>
    <row r="199" spans="1:23" hidden="1" x14ac:dyDescent="0.25">
      <c r="A199" s="1" t="s">
        <v>521</v>
      </c>
      <c r="B199" s="1" t="s">
        <v>522</v>
      </c>
      <c r="C199" s="1" t="s">
        <v>19</v>
      </c>
      <c r="D199" s="1">
        <v>30712091793</v>
      </c>
      <c r="E199" s="1" t="s">
        <v>20</v>
      </c>
      <c r="F199" s="1" t="s">
        <v>514</v>
      </c>
      <c r="G199" s="1" t="s">
        <v>53</v>
      </c>
      <c r="H199" s="1" t="s">
        <v>54</v>
      </c>
      <c r="I199" s="1" t="s">
        <v>523</v>
      </c>
      <c r="J199" s="2">
        <v>21</v>
      </c>
      <c r="K199" s="12">
        <v>4319700</v>
      </c>
      <c r="L199" s="2">
        <v>3570000</v>
      </c>
      <c r="M199" s="2">
        <v>0</v>
      </c>
      <c r="N199" s="12">
        <v>749700</v>
      </c>
      <c r="O199" s="2">
        <v>0</v>
      </c>
      <c r="P199" s="2">
        <v>0</v>
      </c>
      <c r="Q199" s="2">
        <v>0</v>
      </c>
      <c r="R199" s="2">
        <v>0</v>
      </c>
      <c r="S199" s="8" t="str">
        <f t="shared" si="9"/>
        <v>30712091793000200009869</v>
      </c>
      <c r="T199" s="14">
        <f>IFERROR(VLOOKUP(S199,AFIP!$F$2:$R$999999,12,FALSE),"NO")</f>
        <v>749700</v>
      </c>
      <c r="U199" s="10" t="str">
        <f t="shared" si="10"/>
        <v>SI</v>
      </c>
      <c r="V199" s="10">
        <f>IFERROR(VLOOKUP(S199,AFIP!$F$2:$R$999999,13,FALSE),"NO")</f>
        <v>4319700</v>
      </c>
      <c r="W199" s="1" t="str">
        <f t="shared" si="11"/>
        <v>SI</v>
      </c>
    </row>
    <row r="200" spans="1:23" hidden="1" x14ac:dyDescent="0.25">
      <c r="A200" s="1" t="s">
        <v>37</v>
      </c>
      <c r="B200" s="1" t="s">
        <v>38</v>
      </c>
      <c r="C200" s="1" t="s">
        <v>19</v>
      </c>
      <c r="D200" s="1">
        <v>30642674567</v>
      </c>
      <c r="E200" s="1" t="s">
        <v>20</v>
      </c>
      <c r="F200" s="1" t="s">
        <v>514</v>
      </c>
      <c r="G200" s="1" t="s">
        <v>53</v>
      </c>
      <c r="H200" s="1" t="s">
        <v>54</v>
      </c>
      <c r="I200" s="1" t="s">
        <v>524</v>
      </c>
      <c r="J200" s="2">
        <v>21</v>
      </c>
      <c r="K200" s="12">
        <v>159802.72</v>
      </c>
      <c r="L200" s="2">
        <v>132068.35999999999</v>
      </c>
      <c r="M200" s="2">
        <v>0</v>
      </c>
      <c r="N200" s="12">
        <v>27734.36</v>
      </c>
      <c r="O200" s="2">
        <v>0</v>
      </c>
      <c r="P200" s="2">
        <v>0</v>
      </c>
      <c r="Q200" s="2">
        <v>0</v>
      </c>
      <c r="R200" s="2">
        <v>0</v>
      </c>
      <c r="S200" s="8" t="str">
        <f t="shared" si="9"/>
        <v>30642674567000200010326</v>
      </c>
      <c r="T200" s="14">
        <f>IFERROR(VLOOKUP(S200,AFIP!$F$2:$R$999999,12,FALSE),"NO")</f>
        <v>27734.36</v>
      </c>
      <c r="U200" s="10" t="str">
        <f t="shared" si="10"/>
        <v>SI</v>
      </c>
      <c r="V200" s="10">
        <f>IFERROR(VLOOKUP(S200,AFIP!$F$2:$R$999999,13,FALSE),"NO")</f>
        <v>159802.72</v>
      </c>
      <c r="W200" s="1" t="str">
        <f t="shared" si="11"/>
        <v>SI</v>
      </c>
    </row>
    <row r="201" spans="1:23" hidden="1" x14ac:dyDescent="0.25">
      <c r="A201" s="1" t="s">
        <v>37</v>
      </c>
      <c r="B201" s="1" t="s">
        <v>38</v>
      </c>
      <c r="C201" s="1" t="s">
        <v>19</v>
      </c>
      <c r="D201" s="1">
        <v>30642674567</v>
      </c>
      <c r="E201" s="1" t="s">
        <v>20</v>
      </c>
      <c r="F201" s="1" t="s">
        <v>514</v>
      </c>
      <c r="G201" s="1" t="s">
        <v>53</v>
      </c>
      <c r="H201" s="1" t="s">
        <v>54</v>
      </c>
      <c r="I201" s="1" t="s">
        <v>525</v>
      </c>
      <c r="J201" s="2">
        <v>21</v>
      </c>
      <c r="K201" s="12">
        <v>333842.15000000002</v>
      </c>
      <c r="L201" s="2">
        <v>275902.59000000003</v>
      </c>
      <c r="M201" s="2">
        <v>0</v>
      </c>
      <c r="N201" s="12">
        <v>57939.56</v>
      </c>
      <c r="O201" s="2">
        <v>0</v>
      </c>
      <c r="P201" s="2">
        <v>0</v>
      </c>
      <c r="Q201" s="2">
        <v>0</v>
      </c>
      <c r="R201" s="2">
        <v>0</v>
      </c>
      <c r="S201" s="8" t="str">
        <f t="shared" si="9"/>
        <v>30642674567000200010327</v>
      </c>
      <c r="T201" s="14">
        <f>IFERROR(VLOOKUP(S201,AFIP!$F$2:$R$999999,12,FALSE),"NO")</f>
        <v>57939.55</v>
      </c>
      <c r="U201" s="10" t="str">
        <f t="shared" si="10"/>
        <v>NO</v>
      </c>
      <c r="V201" s="10">
        <f>IFERROR(VLOOKUP(S201,AFIP!$F$2:$R$999999,13,FALSE),"NO")</f>
        <v>333842.15000000002</v>
      </c>
      <c r="W201" s="1" t="str">
        <f t="shared" si="11"/>
        <v>SI</v>
      </c>
    </row>
    <row r="202" spans="1:23" hidden="1" x14ac:dyDescent="0.25">
      <c r="A202" s="1" t="s">
        <v>37</v>
      </c>
      <c r="B202" s="1" t="s">
        <v>38</v>
      </c>
      <c r="C202" s="1" t="s">
        <v>19</v>
      </c>
      <c r="D202" s="1">
        <v>30642674567</v>
      </c>
      <c r="E202" s="1" t="s">
        <v>20</v>
      </c>
      <c r="F202" s="1" t="s">
        <v>514</v>
      </c>
      <c r="G202" s="1" t="s">
        <v>53</v>
      </c>
      <c r="H202" s="1" t="s">
        <v>54</v>
      </c>
      <c r="I202" s="1" t="s">
        <v>526</v>
      </c>
      <c r="J202" s="2">
        <v>21</v>
      </c>
      <c r="K202" s="12">
        <v>16901.560000000001</v>
      </c>
      <c r="L202" s="2">
        <v>13968.23</v>
      </c>
      <c r="M202" s="2">
        <v>0</v>
      </c>
      <c r="N202" s="12">
        <v>2933.33</v>
      </c>
      <c r="O202" s="2">
        <v>0</v>
      </c>
      <c r="P202" s="2">
        <v>0</v>
      </c>
      <c r="Q202" s="2">
        <v>0</v>
      </c>
      <c r="R202" s="2">
        <v>0</v>
      </c>
      <c r="S202" s="8" t="str">
        <f t="shared" si="9"/>
        <v>30642674567000200010328</v>
      </c>
      <c r="T202" s="14">
        <f>IFERROR(VLOOKUP(S202,AFIP!$F$2:$R$999999,12,FALSE),"NO")</f>
        <v>2933.33</v>
      </c>
      <c r="U202" s="10" t="str">
        <f t="shared" si="10"/>
        <v>SI</v>
      </c>
      <c r="V202" s="10">
        <f>IFERROR(VLOOKUP(S202,AFIP!$F$2:$R$999999,13,FALSE),"NO")</f>
        <v>16901.560000000001</v>
      </c>
      <c r="W202" s="1" t="str">
        <f t="shared" si="11"/>
        <v>SI</v>
      </c>
    </row>
    <row r="203" spans="1:23" hidden="1" x14ac:dyDescent="0.25">
      <c r="A203" s="1" t="s">
        <v>37</v>
      </c>
      <c r="B203" s="1" t="s">
        <v>38</v>
      </c>
      <c r="C203" s="1" t="s">
        <v>19</v>
      </c>
      <c r="D203" s="1">
        <v>30642674567</v>
      </c>
      <c r="E203" s="1" t="s">
        <v>20</v>
      </c>
      <c r="F203" s="1" t="s">
        <v>514</v>
      </c>
      <c r="G203" s="1" t="s">
        <v>53</v>
      </c>
      <c r="H203" s="1" t="s">
        <v>54</v>
      </c>
      <c r="I203" s="1" t="s">
        <v>527</v>
      </c>
      <c r="J203" s="2">
        <v>21</v>
      </c>
      <c r="K203" s="12">
        <v>72861.66</v>
      </c>
      <c r="L203" s="2">
        <v>60216.25</v>
      </c>
      <c r="M203" s="2">
        <v>0</v>
      </c>
      <c r="N203" s="12">
        <v>12645.41</v>
      </c>
      <c r="O203" s="2">
        <v>0</v>
      </c>
      <c r="P203" s="2">
        <v>0</v>
      </c>
      <c r="Q203" s="2">
        <v>0</v>
      </c>
      <c r="R203" s="2">
        <v>0</v>
      </c>
      <c r="S203" s="8" t="str">
        <f t="shared" si="9"/>
        <v>30642674567000200010330</v>
      </c>
      <c r="T203" s="14">
        <f>IFERROR(VLOOKUP(S203,AFIP!$F$2:$R$999999,12,FALSE),"NO")</f>
        <v>12645.41</v>
      </c>
      <c r="U203" s="10" t="str">
        <f t="shared" si="10"/>
        <v>SI</v>
      </c>
      <c r="V203" s="10">
        <f>IFERROR(VLOOKUP(S203,AFIP!$F$2:$R$999999,13,FALSE),"NO")</f>
        <v>72861.66</v>
      </c>
      <c r="W203" s="1" t="str">
        <f t="shared" si="11"/>
        <v>SI</v>
      </c>
    </row>
    <row r="204" spans="1:23" hidden="1" x14ac:dyDescent="0.25">
      <c r="A204" s="1" t="s">
        <v>37</v>
      </c>
      <c r="B204" s="1" t="s">
        <v>38</v>
      </c>
      <c r="C204" s="1" t="s">
        <v>19</v>
      </c>
      <c r="D204" s="1">
        <v>30642674567</v>
      </c>
      <c r="E204" s="1" t="s">
        <v>20</v>
      </c>
      <c r="F204" s="1" t="s">
        <v>514</v>
      </c>
      <c r="G204" s="1" t="s">
        <v>53</v>
      </c>
      <c r="H204" s="1" t="s">
        <v>54</v>
      </c>
      <c r="I204" s="1" t="s">
        <v>528</v>
      </c>
      <c r="J204" s="2">
        <v>21</v>
      </c>
      <c r="K204" s="12">
        <v>864375.07</v>
      </c>
      <c r="L204" s="2">
        <v>714359.56</v>
      </c>
      <c r="M204" s="2">
        <v>0</v>
      </c>
      <c r="N204" s="12">
        <v>150015.51</v>
      </c>
      <c r="O204" s="2">
        <v>0</v>
      </c>
      <c r="P204" s="2">
        <v>0</v>
      </c>
      <c r="Q204" s="2">
        <v>0</v>
      </c>
      <c r="R204" s="2">
        <v>0</v>
      </c>
      <c r="S204" s="8" t="str">
        <f t="shared" si="9"/>
        <v>30642674567000200010331</v>
      </c>
      <c r="T204" s="14">
        <f>IFERROR(VLOOKUP(S204,AFIP!$F$2:$R$999999,12,FALSE),"NO")</f>
        <v>150015.51</v>
      </c>
      <c r="U204" s="10" t="str">
        <f t="shared" si="10"/>
        <v>SI</v>
      </c>
      <c r="V204" s="10">
        <f>IFERROR(VLOOKUP(S204,AFIP!$F$2:$R$999999,13,FALSE),"NO")</f>
        <v>864375.07</v>
      </c>
      <c r="W204" s="1" t="str">
        <f t="shared" si="11"/>
        <v>SI</v>
      </c>
    </row>
    <row r="205" spans="1:23" hidden="1" x14ac:dyDescent="0.25">
      <c r="A205" s="1" t="s">
        <v>274</v>
      </c>
      <c r="B205" s="1" t="s">
        <v>275</v>
      </c>
      <c r="C205" s="1" t="s">
        <v>19</v>
      </c>
      <c r="D205" s="1">
        <v>20335001312</v>
      </c>
      <c r="E205" s="1" t="s">
        <v>20</v>
      </c>
      <c r="F205" s="1" t="s">
        <v>514</v>
      </c>
      <c r="G205" s="1" t="s">
        <v>53</v>
      </c>
      <c r="H205" s="1" t="s">
        <v>54</v>
      </c>
      <c r="I205" s="1" t="s">
        <v>529</v>
      </c>
      <c r="J205" s="2">
        <v>21</v>
      </c>
      <c r="K205" s="12">
        <v>1430000</v>
      </c>
      <c r="L205" s="2">
        <v>1181818.18</v>
      </c>
      <c r="M205" s="2">
        <v>0</v>
      </c>
      <c r="N205" s="12">
        <v>248181.82</v>
      </c>
      <c r="O205" s="2">
        <v>0</v>
      </c>
      <c r="P205" s="2">
        <v>0</v>
      </c>
      <c r="Q205" s="2">
        <v>0</v>
      </c>
      <c r="R205" s="2">
        <v>0</v>
      </c>
      <c r="S205" s="8" t="str">
        <f t="shared" si="9"/>
        <v>20335001312000300001640</v>
      </c>
      <c r="T205" s="14">
        <f>IFERROR(VLOOKUP(S205,AFIP!$F$2:$R$999999,12,FALSE),"NO")</f>
        <v>248181.82</v>
      </c>
      <c r="U205" s="10" t="str">
        <f t="shared" si="10"/>
        <v>SI</v>
      </c>
      <c r="V205" s="10">
        <f>IFERROR(VLOOKUP(S205,AFIP!$F$2:$R$999999,13,FALSE),"NO")</f>
        <v>1430000</v>
      </c>
      <c r="W205" s="1" t="str">
        <f t="shared" si="11"/>
        <v>SI</v>
      </c>
    </row>
    <row r="206" spans="1:23" hidden="1" x14ac:dyDescent="0.25">
      <c r="A206" s="1" t="s">
        <v>115</v>
      </c>
      <c r="B206" s="1" t="s">
        <v>116</v>
      </c>
      <c r="C206" s="1" t="s">
        <v>19</v>
      </c>
      <c r="D206" s="1">
        <v>20062436965</v>
      </c>
      <c r="E206" s="1" t="s">
        <v>20</v>
      </c>
      <c r="F206" s="1" t="s">
        <v>514</v>
      </c>
      <c r="G206" s="1" t="s">
        <v>53</v>
      </c>
      <c r="H206" s="1" t="s">
        <v>54</v>
      </c>
      <c r="I206" s="1" t="s">
        <v>530</v>
      </c>
      <c r="J206" s="2">
        <v>21</v>
      </c>
      <c r="K206" s="12">
        <v>2413356.2000000002</v>
      </c>
      <c r="L206" s="2">
        <v>1994509.26</v>
      </c>
      <c r="M206" s="2">
        <v>0</v>
      </c>
      <c r="N206" s="12">
        <v>418846.94</v>
      </c>
      <c r="O206" s="2">
        <v>0</v>
      </c>
      <c r="P206" s="2">
        <v>0</v>
      </c>
      <c r="Q206" s="2">
        <v>0</v>
      </c>
      <c r="R206" s="2">
        <v>0</v>
      </c>
      <c r="S206" s="8" t="str">
        <f t="shared" si="9"/>
        <v>20062436965000400017885</v>
      </c>
      <c r="T206" s="14">
        <f>IFERROR(VLOOKUP(S206,AFIP!$F$2:$R$999999,12,FALSE),"NO")</f>
        <v>418846.94</v>
      </c>
      <c r="U206" s="10" t="str">
        <f t="shared" si="10"/>
        <v>SI</v>
      </c>
      <c r="V206" s="10">
        <f>IFERROR(VLOOKUP(S206,AFIP!$F$2:$R$999999,13,FALSE),"NO")</f>
        <v>2451100.96</v>
      </c>
      <c r="W206" s="1" t="str">
        <f t="shared" si="11"/>
        <v>NO</v>
      </c>
    </row>
    <row r="207" spans="1:23" hidden="1" x14ac:dyDescent="0.25">
      <c r="A207" s="1" t="s">
        <v>115</v>
      </c>
      <c r="B207" s="1" t="s">
        <v>116</v>
      </c>
      <c r="C207" s="1" t="s">
        <v>19</v>
      </c>
      <c r="D207" s="1">
        <v>20062436965</v>
      </c>
      <c r="E207" s="1" t="s">
        <v>20</v>
      </c>
      <c r="F207" s="1" t="s">
        <v>514</v>
      </c>
      <c r="G207" s="1" t="s">
        <v>53</v>
      </c>
      <c r="H207" s="1" t="s">
        <v>54</v>
      </c>
      <c r="I207" s="1" t="s">
        <v>530</v>
      </c>
      <c r="J207" s="2">
        <v>0</v>
      </c>
      <c r="K207" s="12">
        <v>37744.76</v>
      </c>
      <c r="L207" s="2">
        <v>0</v>
      </c>
      <c r="M207" s="2">
        <v>37744.76</v>
      </c>
      <c r="N207" s="12">
        <v>0</v>
      </c>
      <c r="O207" s="2">
        <v>0</v>
      </c>
      <c r="P207" s="2">
        <v>0</v>
      </c>
      <c r="Q207" s="2">
        <v>0</v>
      </c>
      <c r="R207" s="2">
        <v>0</v>
      </c>
      <c r="S207" s="8" t="str">
        <f t="shared" si="9"/>
        <v>20062436965000400017885</v>
      </c>
      <c r="T207" s="14">
        <f>IFERROR(VLOOKUP(S207,AFIP!$F$2:$R$999999,12,FALSE),"NO")</f>
        <v>418846.94</v>
      </c>
      <c r="U207" s="10" t="str">
        <f t="shared" si="10"/>
        <v>NO</v>
      </c>
      <c r="V207" s="10">
        <f>IFERROR(VLOOKUP(S207,AFIP!$F$2:$R$999999,13,FALSE),"NO")</f>
        <v>2451100.96</v>
      </c>
      <c r="W207" s="1" t="str">
        <f t="shared" si="11"/>
        <v>NO</v>
      </c>
    </row>
    <row r="208" spans="1:23" hidden="1" x14ac:dyDescent="0.25">
      <c r="A208" s="1" t="s">
        <v>29</v>
      </c>
      <c r="B208" s="1" t="s">
        <v>30</v>
      </c>
      <c r="C208" s="1" t="s">
        <v>19</v>
      </c>
      <c r="D208" s="1">
        <v>30621181838</v>
      </c>
      <c r="E208" s="1" t="s">
        <v>20</v>
      </c>
      <c r="F208" s="1" t="s">
        <v>514</v>
      </c>
      <c r="G208" s="1" t="s">
        <v>53</v>
      </c>
      <c r="H208" s="1" t="s">
        <v>54</v>
      </c>
      <c r="I208" s="1" t="s">
        <v>531</v>
      </c>
      <c r="J208" s="2">
        <v>21</v>
      </c>
      <c r="K208" s="12">
        <v>425973.63</v>
      </c>
      <c r="L208" s="2">
        <v>352044.32</v>
      </c>
      <c r="M208" s="2">
        <v>0</v>
      </c>
      <c r="N208" s="12">
        <v>73929.31</v>
      </c>
      <c r="O208" s="2">
        <v>0</v>
      </c>
      <c r="P208" s="2">
        <v>0</v>
      </c>
      <c r="Q208" s="2">
        <v>0</v>
      </c>
      <c r="R208" s="2">
        <v>0</v>
      </c>
      <c r="S208" s="8" t="str">
        <f t="shared" si="9"/>
        <v>30621181838003200254165</v>
      </c>
      <c r="T208" s="14">
        <f>IFERROR(VLOOKUP(S208,AFIP!$F$2:$R$999999,12,FALSE),"NO")</f>
        <v>73929.31</v>
      </c>
      <c r="U208" s="10" t="str">
        <f t="shared" si="10"/>
        <v>SI</v>
      </c>
      <c r="V208" s="10">
        <f>IFERROR(VLOOKUP(S208,AFIP!$F$2:$R$999999,13,FALSE),"NO")</f>
        <v>425973.63</v>
      </c>
      <c r="W208" s="1" t="str">
        <f t="shared" si="11"/>
        <v>SI</v>
      </c>
    </row>
    <row r="209" spans="1:23" hidden="1" x14ac:dyDescent="0.25">
      <c r="A209" s="1" t="s">
        <v>29</v>
      </c>
      <c r="B209" s="1" t="s">
        <v>30</v>
      </c>
      <c r="C209" s="1" t="s">
        <v>19</v>
      </c>
      <c r="D209" s="1">
        <v>30621181838</v>
      </c>
      <c r="E209" s="1" t="s">
        <v>20</v>
      </c>
      <c r="F209" s="1" t="s">
        <v>514</v>
      </c>
      <c r="G209" s="1" t="s">
        <v>53</v>
      </c>
      <c r="H209" s="1" t="s">
        <v>54</v>
      </c>
      <c r="I209" s="1" t="s">
        <v>532</v>
      </c>
      <c r="J209" s="2">
        <v>21</v>
      </c>
      <c r="K209" s="12">
        <v>486741.73</v>
      </c>
      <c r="L209" s="2">
        <v>402265.89</v>
      </c>
      <c r="M209" s="2">
        <v>0</v>
      </c>
      <c r="N209" s="12">
        <v>84475.839999999997</v>
      </c>
      <c r="O209" s="2">
        <v>0</v>
      </c>
      <c r="P209" s="2">
        <v>0</v>
      </c>
      <c r="Q209" s="2">
        <v>0</v>
      </c>
      <c r="R209" s="2">
        <v>0</v>
      </c>
      <c r="S209" s="8" t="str">
        <f t="shared" si="9"/>
        <v>30621181838003200254166</v>
      </c>
      <c r="T209" s="14">
        <f>IFERROR(VLOOKUP(S209,AFIP!$F$2:$R$999999,12,FALSE),"NO")</f>
        <v>84475.839999999997</v>
      </c>
      <c r="U209" s="10" t="str">
        <f t="shared" si="10"/>
        <v>SI</v>
      </c>
      <c r="V209" s="10">
        <f>IFERROR(VLOOKUP(S209,AFIP!$F$2:$R$999999,13,FALSE),"NO")</f>
        <v>486741.73</v>
      </c>
      <c r="W209" s="1" t="str">
        <f t="shared" si="11"/>
        <v>SI</v>
      </c>
    </row>
    <row r="210" spans="1:23" hidden="1" x14ac:dyDescent="0.25">
      <c r="A210" s="1" t="s">
        <v>533</v>
      </c>
      <c r="B210" s="1" t="s">
        <v>534</v>
      </c>
      <c r="C210" s="1" t="s">
        <v>19</v>
      </c>
      <c r="D210" s="1">
        <v>20266044535</v>
      </c>
      <c r="E210" s="1" t="s">
        <v>63</v>
      </c>
      <c r="F210" s="1" t="s">
        <v>514</v>
      </c>
      <c r="G210" s="1" t="s">
        <v>53</v>
      </c>
      <c r="H210" s="1" t="s">
        <v>59</v>
      </c>
      <c r="I210" s="1" t="s">
        <v>535</v>
      </c>
      <c r="J210" s="2">
        <v>0</v>
      </c>
      <c r="K210" s="12">
        <v>460000</v>
      </c>
      <c r="L210" s="2">
        <v>0</v>
      </c>
      <c r="M210" s="2">
        <v>460000</v>
      </c>
      <c r="N210" s="12">
        <v>0</v>
      </c>
      <c r="O210" s="2">
        <v>0</v>
      </c>
      <c r="P210" s="2">
        <v>0</v>
      </c>
      <c r="Q210" s="2">
        <v>0</v>
      </c>
      <c r="R210" s="2">
        <v>0</v>
      </c>
      <c r="S210" s="8" t="str">
        <f t="shared" si="9"/>
        <v>20266044535000200000038</v>
      </c>
      <c r="T210" s="14">
        <f>IFERROR(VLOOKUP(S210,AFIP!$F$2:$R$999999,12,FALSE),"NO")</f>
        <v>0</v>
      </c>
      <c r="U210" s="10" t="str">
        <f t="shared" si="10"/>
        <v>SI</v>
      </c>
      <c r="V210" s="10">
        <f>IFERROR(VLOOKUP(S210,AFIP!$F$2:$R$999999,13,FALSE),"NO")</f>
        <v>460000</v>
      </c>
      <c r="W210" s="1" t="str">
        <f t="shared" si="11"/>
        <v>SI</v>
      </c>
    </row>
    <row r="211" spans="1:23" hidden="1" x14ac:dyDescent="0.25">
      <c r="A211" s="1" t="s">
        <v>236</v>
      </c>
      <c r="B211" s="1" t="s">
        <v>222</v>
      </c>
      <c r="C211" s="1" t="s">
        <v>19</v>
      </c>
      <c r="D211" s="1">
        <v>20220874568</v>
      </c>
      <c r="E211" s="1" t="s">
        <v>63</v>
      </c>
      <c r="F211" s="1" t="s">
        <v>514</v>
      </c>
      <c r="G211" s="1" t="s">
        <v>53</v>
      </c>
      <c r="H211" s="1" t="s">
        <v>59</v>
      </c>
      <c r="I211" s="1" t="s">
        <v>267</v>
      </c>
      <c r="J211" s="2">
        <v>0</v>
      </c>
      <c r="K211" s="12">
        <v>440000</v>
      </c>
      <c r="L211" s="2">
        <v>0</v>
      </c>
      <c r="M211" s="2">
        <v>440000</v>
      </c>
      <c r="N211" s="12">
        <v>0</v>
      </c>
      <c r="O211" s="2">
        <v>0</v>
      </c>
      <c r="P211" s="2">
        <v>0</v>
      </c>
      <c r="Q211" s="2">
        <v>0</v>
      </c>
      <c r="R211" s="2">
        <v>0</v>
      </c>
      <c r="S211" s="8" t="str">
        <f t="shared" si="9"/>
        <v>20220874568000300000252</v>
      </c>
      <c r="T211" s="14">
        <f>IFERROR(VLOOKUP(S211,AFIP!$F$2:$R$999999,12,FALSE),"NO")</f>
        <v>0</v>
      </c>
      <c r="U211" s="10" t="str">
        <f t="shared" si="10"/>
        <v>SI</v>
      </c>
      <c r="V211" s="10">
        <f>IFERROR(VLOOKUP(S211,AFIP!$F$2:$R$999999,13,FALSE),"NO")</f>
        <v>440000</v>
      </c>
      <c r="W211" s="1" t="str">
        <f t="shared" si="11"/>
        <v>SI</v>
      </c>
    </row>
    <row r="212" spans="1:23" hidden="1" x14ac:dyDescent="0.25">
      <c r="A212" s="1" t="s">
        <v>536</v>
      </c>
      <c r="B212" s="1" t="s">
        <v>537</v>
      </c>
      <c r="C212" s="1" t="s">
        <v>19</v>
      </c>
      <c r="D212" s="1">
        <v>20302918768</v>
      </c>
      <c r="E212" s="1" t="s">
        <v>63</v>
      </c>
      <c r="F212" s="1" t="s">
        <v>514</v>
      </c>
      <c r="G212" s="1" t="s">
        <v>53</v>
      </c>
      <c r="H212" s="1" t="s">
        <v>59</v>
      </c>
      <c r="I212" s="1" t="s">
        <v>538</v>
      </c>
      <c r="J212" s="2">
        <v>0</v>
      </c>
      <c r="K212" s="12">
        <v>140000</v>
      </c>
      <c r="L212" s="2">
        <v>0</v>
      </c>
      <c r="M212" s="2">
        <v>140000</v>
      </c>
      <c r="N212" s="12">
        <v>0</v>
      </c>
      <c r="O212" s="2">
        <v>0</v>
      </c>
      <c r="P212" s="2">
        <v>0</v>
      </c>
      <c r="Q212" s="2">
        <v>0</v>
      </c>
      <c r="R212" s="2">
        <v>0</v>
      </c>
      <c r="S212" s="8" t="str">
        <f t="shared" si="9"/>
        <v>20302918768000300000495</v>
      </c>
      <c r="T212" s="14">
        <f>IFERROR(VLOOKUP(S212,AFIP!$F$2:$R$999999,12,FALSE),"NO")</f>
        <v>0</v>
      </c>
      <c r="U212" s="10" t="str">
        <f t="shared" si="10"/>
        <v>SI</v>
      </c>
      <c r="V212" s="10">
        <f>IFERROR(VLOOKUP(S212,AFIP!$F$2:$R$999999,13,FALSE),"NO")</f>
        <v>140000</v>
      </c>
      <c r="W212" s="1" t="str">
        <f t="shared" si="11"/>
        <v>SI</v>
      </c>
    </row>
    <row r="213" spans="1:23" hidden="1" x14ac:dyDescent="0.25">
      <c r="A213" s="1" t="s">
        <v>231</v>
      </c>
      <c r="B213" s="1" t="s">
        <v>218</v>
      </c>
      <c r="C213" s="1" t="s">
        <v>19</v>
      </c>
      <c r="D213" s="1">
        <v>30710244274</v>
      </c>
      <c r="E213" s="1" t="s">
        <v>58</v>
      </c>
      <c r="F213" s="1" t="s">
        <v>514</v>
      </c>
      <c r="G213" s="1" t="s">
        <v>53</v>
      </c>
      <c r="H213" s="1" t="s">
        <v>59</v>
      </c>
      <c r="I213" s="1" t="s">
        <v>539</v>
      </c>
      <c r="J213" s="2">
        <v>0</v>
      </c>
      <c r="K213" s="12">
        <v>187000</v>
      </c>
      <c r="L213" s="2">
        <v>0</v>
      </c>
      <c r="M213" s="2">
        <v>187000</v>
      </c>
      <c r="N213" s="12">
        <v>0</v>
      </c>
      <c r="O213" s="2">
        <v>0</v>
      </c>
      <c r="P213" s="2">
        <v>0</v>
      </c>
      <c r="Q213" s="2">
        <v>0</v>
      </c>
      <c r="R213" s="2">
        <v>0</v>
      </c>
      <c r="S213" s="8" t="str">
        <f t="shared" si="9"/>
        <v>30710244274000400010152</v>
      </c>
      <c r="T213" s="14">
        <f>IFERROR(VLOOKUP(S213,AFIP!$F$2:$R$999999,12,FALSE),"NO")</f>
        <v>0</v>
      </c>
      <c r="U213" s="10" t="str">
        <f t="shared" si="10"/>
        <v>SI</v>
      </c>
      <c r="V213" s="10">
        <f>IFERROR(VLOOKUP(S213,AFIP!$F$2:$R$999999,13,FALSE),"NO")</f>
        <v>187000</v>
      </c>
      <c r="W213" s="1" t="str">
        <f t="shared" si="11"/>
        <v>SI</v>
      </c>
    </row>
    <row r="214" spans="1:23" hidden="1" x14ac:dyDescent="0.25">
      <c r="A214" s="1" t="s">
        <v>540</v>
      </c>
      <c r="B214" s="1" t="s">
        <v>541</v>
      </c>
      <c r="C214" s="1" t="s">
        <v>19</v>
      </c>
      <c r="D214" s="1">
        <v>30699881100</v>
      </c>
      <c r="E214" s="1" t="s">
        <v>58</v>
      </c>
      <c r="F214" s="1" t="s">
        <v>514</v>
      </c>
      <c r="G214" s="1" t="s">
        <v>53</v>
      </c>
      <c r="H214" s="1" t="s">
        <v>59</v>
      </c>
      <c r="I214" s="1" t="s">
        <v>542</v>
      </c>
      <c r="J214" s="2">
        <v>0</v>
      </c>
      <c r="K214" s="12">
        <v>348124.8</v>
      </c>
      <c r="L214" s="2">
        <v>0</v>
      </c>
      <c r="M214" s="2">
        <v>348124.8</v>
      </c>
      <c r="N214" s="12">
        <v>0</v>
      </c>
      <c r="O214" s="2">
        <v>0</v>
      </c>
      <c r="P214" s="2">
        <v>0</v>
      </c>
      <c r="Q214" s="2">
        <v>0</v>
      </c>
      <c r="R214" s="2">
        <v>0</v>
      </c>
      <c r="S214" s="8" t="str">
        <f t="shared" si="9"/>
        <v>30699881100000800001379</v>
      </c>
      <c r="T214" s="14">
        <f>IFERROR(VLOOKUP(S214,AFIP!$F$2:$R$999999,12,FALSE),"NO")</f>
        <v>0</v>
      </c>
      <c r="U214" s="10" t="str">
        <f t="shared" si="10"/>
        <v>SI</v>
      </c>
      <c r="V214" s="10">
        <f>IFERROR(VLOOKUP(S214,AFIP!$F$2:$R$999999,13,FALSE),"NO")</f>
        <v>348124.8</v>
      </c>
      <c r="W214" s="1" t="str">
        <f t="shared" si="11"/>
        <v>SI</v>
      </c>
    </row>
    <row r="215" spans="1:23" hidden="1" x14ac:dyDescent="0.25">
      <c r="A215" s="1" t="s">
        <v>543</v>
      </c>
      <c r="B215" s="1" t="s">
        <v>544</v>
      </c>
      <c r="C215" s="1" t="s">
        <v>19</v>
      </c>
      <c r="D215" s="1">
        <v>20201410879</v>
      </c>
      <c r="E215" s="1" t="s">
        <v>20</v>
      </c>
      <c r="F215" s="1" t="s">
        <v>370</v>
      </c>
      <c r="G215" s="1" t="s">
        <v>53</v>
      </c>
      <c r="H215" s="1" t="s">
        <v>54</v>
      </c>
      <c r="I215" s="1" t="s">
        <v>545</v>
      </c>
      <c r="J215" s="2">
        <v>21</v>
      </c>
      <c r="K215" s="12">
        <v>1741795</v>
      </c>
      <c r="L215" s="2">
        <v>1439500</v>
      </c>
      <c r="M215" s="2">
        <v>0</v>
      </c>
      <c r="N215" s="12">
        <v>302295</v>
      </c>
      <c r="O215" s="2">
        <v>0</v>
      </c>
      <c r="P215" s="2">
        <v>0</v>
      </c>
      <c r="Q215" s="2">
        <v>0</v>
      </c>
      <c r="R215" s="2">
        <v>0</v>
      </c>
      <c r="S215" s="8" t="str">
        <f t="shared" si="9"/>
        <v>20201410879000200000396</v>
      </c>
      <c r="T215" s="14">
        <f>IFERROR(VLOOKUP(S215,AFIP!$F$2:$R$999999,12,FALSE),"NO")</f>
        <v>302295</v>
      </c>
      <c r="U215" s="10" t="str">
        <f t="shared" si="10"/>
        <v>SI</v>
      </c>
      <c r="V215" s="10">
        <f>IFERROR(VLOOKUP(S215,AFIP!$F$2:$R$999999,13,FALSE),"NO")</f>
        <v>1741795</v>
      </c>
      <c r="W215" s="1" t="str">
        <f t="shared" si="11"/>
        <v>SI</v>
      </c>
    </row>
    <row r="216" spans="1:23" hidden="1" x14ac:dyDescent="0.25">
      <c r="A216" s="1" t="s">
        <v>129</v>
      </c>
      <c r="B216" s="1" t="s">
        <v>130</v>
      </c>
      <c r="C216" s="1" t="s">
        <v>19</v>
      </c>
      <c r="D216" s="1">
        <v>27064866163</v>
      </c>
      <c r="E216" s="1" t="s">
        <v>20</v>
      </c>
      <c r="F216" s="1" t="s">
        <v>370</v>
      </c>
      <c r="G216" s="1" t="s">
        <v>53</v>
      </c>
      <c r="H216" s="1" t="s">
        <v>54</v>
      </c>
      <c r="I216" s="1" t="s">
        <v>546</v>
      </c>
      <c r="J216" s="2">
        <v>21</v>
      </c>
      <c r="K216" s="12">
        <v>1294700</v>
      </c>
      <c r="L216" s="2">
        <v>1070000</v>
      </c>
      <c r="M216" s="2">
        <v>0</v>
      </c>
      <c r="N216" s="12">
        <v>224700</v>
      </c>
      <c r="O216" s="2">
        <v>0</v>
      </c>
      <c r="P216" s="2">
        <v>0</v>
      </c>
      <c r="Q216" s="2">
        <v>0</v>
      </c>
      <c r="R216" s="2">
        <v>0</v>
      </c>
      <c r="S216" s="8" t="str">
        <f t="shared" si="9"/>
        <v>27064866163000200026237</v>
      </c>
      <c r="T216" s="14">
        <f>IFERROR(VLOOKUP(S216,AFIP!$F$2:$R$999999,12,FALSE),"NO")</f>
        <v>224700</v>
      </c>
      <c r="U216" s="10" t="str">
        <f t="shared" si="10"/>
        <v>SI</v>
      </c>
      <c r="V216" s="10">
        <f>IFERROR(VLOOKUP(S216,AFIP!$F$2:$R$999999,13,FALSE),"NO")</f>
        <v>1349566</v>
      </c>
      <c r="W216" s="1" t="str">
        <f t="shared" si="11"/>
        <v>NO</v>
      </c>
    </row>
    <row r="217" spans="1:23" hidden="1" x14ac:dyDescent="0.25">
      <c r="A217" s="1" t="s">
        <v>129</v>
      </c>
      <c r="B217" s="1" t="s">
        <v>130</v>
      </c>
      <c r="C217" s="1" t="s">
        <v>19</v>
      </c>
      <c r="D217" s="1">
        <v>27064866163</v>
      </c>
      <c r="E217" s="1" t="s">
        <v>20</v>
      </c>
      <c r="F217" s="1" t="s">
        <v>370</v>
      </c>
      <c r="G217" s="1" t="s">
        <v>53</v>
      </c>
      <c r="H217" s="1" t="s">
        <v>54</v>
      </c>
      <c r="I217" s="1" t="s">
        <v>546</v>
      </c>
      <c r="J217" s="2">
        <v>0</v>
      </c>
      <c r="K217" s="12">
        <v>54866</v>
      </c>
      <c r="L217" s="2">
        <v>0</v>
      </c>
      <c r="M217" s="2">
        <v>54866</v>
      </c>
      <c r="N217" s="12">
        <v>0</v>
      </c>
      <c r="O217" s="2">
        <v>0</v>
      </c>
      <c r="P217" s="2">
        <v>0</v>
      </c>
      <c r="Q217" s="2">
        <v>0</v>
      </c>
      <c r="R217" s="2">
        <v>0</v>
      </c>
      <c r="S217" s="8" t="str">
        <f t="shared" si="9"/>
        <v>27064866163000200026237</v>
      </c>
      <c r="T217" s="14">
        <f>IFERROR(VLOOKUP(S217,AFIP!$F$2:$R$999999,12,FALSE),"NO")</f>
        <v>224700</v>
      </c>
      <c r="U217" s="10" t="str">
        <f t="shared" si="10"/>
        <v>NO</v>
      </c>
      <c r="V217" s="10">
        <f>IFERROR(VLOOKUP(S217,AFIP!$F$2:$R$999999,13,FALSE),"NO")</f>
        <v>1349566</v>
      </c>
      <c r="W217" s="1" t="str">
        <f t="shared" si="11"/>
        <v>NO</v>
      </c>
    </row>
    <row r="218" spans="1:23" hidden="1" x14ac:dyDescent="0.25">
      <c r="A218" s="1" t="s">
        <v>547</v>
      </c>
      <c r="B218" s="1" t="s">
        <v>548</v>
      </c>
      <c r="C218" s="1" t="s">
        <v>19</v>
      </c>
      <c r="D218" s="1">
        <v>20076351679</v>
      </c>
      <c r="E218" s="1" t="s">
        <v>20</v>
      </c>
      <c r="F218" s="1" t="s">
        <v>370</v>
      </c>
      <c r="G218" s="1" t="s">
        <v>53</v>
      </c>
      <c r="H218" s="1" t="s">
        <v>54</v>
      </c>
      <c r="I218" s="1" t="s">
        <v>549</v>
      </c>
      <c r="J218" s="2">
        <v>21</v>
      </c>
      <c r="K218" s="12">
        <v>119790</v>
      </c>
      <c r="L218" s="2">
        <v>99000</v>
      </c>
      <c r="M218" s="2">
        <v>0</v>
      </c>
      <c r="N218" s="12">
        <v>20790</v>
      </c>
      <c r="O218" s="2">
        <v>0</v>
      </c>
      <c r="P218" s="2">
        <v>0</v>
      </c>
      <c r="Q218" s="2">
        <v>0</v>
      </c>
      <c r="R218" s="2">
        <v>0</v>
      </c>
      <c r="S218" s="8" t="str">
        <f t="shared" si="9"/>
        <v>20076351679000200039108</v>
      </c>
      <c r="T218" s="14">
        <f>IFERROR(VLOOKUP(S218,AFIP!$F$2:$R$999999,12,FALSE),"NO")</f>
        <v>20790</v>
      </c>
      <c r="U218" s="10" t="str">
        <f t="shared" si="10"/>
        <v>SI</v>
      </c>
      <c r="V218" s="10">
        <f>IFERROR(VLOOKUP(S218,AFIP!$F$2:$R$999999,13,FALSE),"NO")</f>
        <v>119790</v>
      </c>
      <c r="W218" s="1" t="str">
        <f t="shared" si="11"/>
        <v>SI</v>
      </c>
    </row>
    <row r="219" spans="1:23" hidden="1" x14ac:dyDescent="0.25">
      <c r="A219" s="1" t="s">
        <v>1048</v>
      </c>
      <c r="B219" s="1" t="s">
        <v>62</v>
      </c>
      <c r="C219" s="1" t="s">
        <v>19</v>
      </c>
      <c r="D219" s="1">
        <v>20162895142</v>
      </c>
      <c r="E219" s="1" t="s">
        <v>20</v>
      </c>
      <c r="F219" s="1" t="s">
        <v>370</v>
      </c>
      <c r="G219" s="1" t="s">
        <v>53</v>
      </c>
      <c r="H219" s="1" t="s">
        <v>54</v>
      </c>
      <c r="I219" s="1" t="s">
        <v>1088</v>
      </c>
      <c r="J219" s="2">
        <v>21</v>
      </c>
      <c r="K219" s="12">
        <v>46199.01</v>
      </c>
      <c r="L219" s="2">
        <v>38181</v>
      </c>
      <c r="M219" s="2">
        <v>0</v>
      </c>
      <c r="N219" s="12">
        <v>8018.01</v>
      </c>
      <c r="O219" s="2">
        <v>0</v>
      </c>
      <c r="P219" s="2">
        <v>0</v>
      </c>
      <c r="Q219" s="2">
        <v>0</v>
      </c>
      <c r="R219" s="2">
        <v>0</v>
      </c>
      <c r="S219" s="8" t="str">
        <f t="shared" si="9"/>
        <v>20162895142000300001522</v>
      </c>
      <c r="T219" s="14">
        <f>IFERROR(VLOOKUP(S219,AFIP!$F$2:$R$999999,12,FALSE),"NO")</f>
        <v>8018.01</v>
      </c>
      <c r="U219" s="10" t="str">
        <f t="shared" si="10"/>
        <v>SI</v>
      </c>
      <c r="V219" s="10">
        <f>IFERROR(VLOOKUP(S219,AFIP!$F$2:$R$999999,13,FALSE),"NO")</f>
        <v>46199.01</v>
      </c>
      <c r="W219" s="1" t="str">
        <f t="shared" si="11"/>
        <v>SI</v>
      </c>
    </row>
    <row r="220" spans="1:23" hidden="1" x14ac:dyDescent="0.25">
      <c r="A220" s="1" t="s">
        <v>550</v>
      </c>
      <c r="B220" s="1" t="s">
        <v>551</v>
      </c>
      <c r="C220" s="1" t="s">
        <v>19</v>
      </c>
      <c r="D220" s="1">
        <v>30708216298</v>
      </c>
      <c r="E220" s="1" t="s">
        <v>20</v>
      </c>
      <c r="F220" s="1" t="s">
        <v>370</v>
      </c>
      <c r="G220" s="1" t="s">
        <v>53</v>
      </c>
      <c r="H220" s="1" t="s">
        <v>54</v>
      </c>
      <c r="I220" s="1" t="s">
        <v>552</v>
      </c>
      <c r="J220" s="2">
        <v>21</v>
      </c>
      <c r="K220" s="12">
        <v>1775103.06</v>
      </c>
      <c r="L220" s="2">
        <v>1467027.32</v>
      </c>
      <c r="M220" s="2">
        <v>0</v>
      </c>
      <c r="N220" s="12">
        <v>308075.74</v>
      </c>
      <c r="O220" s="2">
        <v>0</v>
      </c>
      <c r="P220" s="2">
        <v>0</v>
      </c>
      <c r="Q220" s="2">
        <v>0</v>
      </c>
      <c r="R220" s="2">
        <v>0</v>
      </c>
      <c r="S220" s="8" t="str">
        <f t="shared" si="9"/>
        <v>30708216298000300048617</v>
      </c>
      <c r="T220" s="14">
        <f>IFERROR(VLOOKUP(S220,AFIP!$F$2:$R$999999,12,FALSE),"NO")</f>
        <v>308075.74</v>
      </c>
      <c r="U220" s="10" t="str">
        <f t="shared" si="10"/>
        <v>SI</v>
      </c>
      <c r="V220" s="10">
        <f>IFERROR(VLOOKUP(S220,AFIP!$F$2:$R$999999,13,FALSE),"NO")</f>
        <v>1775103.06</v>
      </c>
      <c r="W220" s="1" t="str">
        <f t="shared" si="11"/>
        <v>SI</v>
      </c>
    </row>
    <row r="221" spans="1:23" hidden="1" x14ac:dyDescent="0.25">
      <c r="A221" s="1" t="s">
        <v>553</v>
      </c>
      <c r="B221" s="1" t="s">
        <v>554</v>
      </c>
      <c r="C221" s="1" t="s">
        <v>19</v>
      </c>
      <c r="D221" s="1">
        <v>30718545230</v>
      </c>
      <c r="E221" s="1" t="s">
        <v>20</v>
      </c>
      <c r="F221" s="1" t="s">
        <v>370</v>
      </c>
      <c r="G221" s="1" t="s">
        <v>53</v>
      </c>
      <c r="H221" s="1" t="s">
        <v>54</v>
      </c>
      <c r="I221" s="1" t="s">
        <v>555</v>
      </c>
      <c r="J221" s="2">
        <v>21</v>
      </c>
      <c r="K221" s="12">
        <v>6500</v>
      </c>
      <c r="L221" s="2">
        <v>5371.9</v>
      </c>
      <c r="M221" s="2">
        <v>0</v>
      </c>
      <c r="N221" s="12">
        <v>1128.0999999999999</v>
      </c>
      <c r="O221" s="2">
        <v>0</v>
      </c>
      <c r="P221" s="2">
        <v>0</v>
      </c>
      <c r="Q221" s="2">
        <v>0</v>
      </c>
      <c r="R221" s="2">
        <v>0</v>
      </c>
      <c r="S221" s="8" t="str">
        <f t="shared" si="9"/>
        <v>30718545230000400000060</v>
      </c>
      <c r="T221" s="14">
        <f>IFERROR(VLOOKUP(S221,AFIP!$F$2:$R$999999,12,FALSE),"NO")</f>
        <v>1128.0999999999999</v>
      </c>
      <c r="U221" s="10" t="str">
        <f t="shared" si="10"/>
        <v>SI</v>
      </c>
      <c r="V221" s="10">
        <f>IFERROR(VLOOKUP(S221,AFIP!$F$2:$R$999999,13,FALSE),"NO")</f>
        <v>6500</v>
      </c>
      <c r="W221" s="1" t="str">
        <f t="shared" si="11"/>
        <v>SI</v>
      </c>
    </row>
    <row r="222" spans="1:23" hidden="1" x14ac:dyDescent="0.25">
      <c r="A222" s="1" t="s">
        <v>553</v>
      </c>
      <c r="B222" s="1" t="s">
        <v>554</v>
      </c>
      <c r="C222" s="1" t="s">
        <v>19</v>
      </c>
      <c r="D222" s="1">
        <v>30718545230</v>
      </c>
      <c r="E222" s="1" t="s">
        <v>20</v>
      </c>
      <c r="F222" s="1" t="s">
        <v>370</v>
      </c>
      <c r="G222" s="1" t="s">
        <v>53</v>
      </c>
      <c r="H222" s="1" t="s">
        <v>54</v>
      </c>
      <c r="I222" s="1" t="s">
        <v>556</v>
      </c>
      <c r="J222" s="2">
        <v>21</v>
      </c>
      <c r="K222" s="12">
        <v>6500</v>
      </c>
      <c r="L222" s="2">
        <v>5371.9</v>
      </c>
      <c r="M222" s="2">
        <v>0</v>
      </c>
      <c r="N222" s="12">
        <v>1128.0999999999999</v>
      </c>
      <c r="O222" s="2">
        <v>0</v>
      </c>
      <c r="P222" s="2">
        <v>0</v>
      </c>
      <c r="Q222" s="2">
        <v>0</v>
      </c>
      <c r="R222" s="2">
        <v>0</v>
      </c>
      <c r="S222" s="8" t="str">
        <f t="shared" si="9"/>
        <v>30718545230000400000061</v>
      </c>
      <c r="T222" s="14">
        <f>IFERROR(VLOOKUP(S222,AFIP!$F$2:$R$999999,12,FALSE),"NO")</f>
        <v>1128.0999999999999</v>
      </c>
      <c r="U222" s="10" t="str">
        <f t="shared" si="10"/>
        <v>SI</v>
      </c>
      <c r="V222" s="10">
        <f>IFERROR(VLOOKUP(S222,AFIP!$F$2:$R$999999,13,FALSE),"NO")</f>
        <v>6500</v>
      </c>
      <c r="W222" s="1" t="str">
        <f t="shared" si="11"/>
        <v>SI</v>
      </c>
    </row>
    <row r="223" spans="1:23" hidden="1" x14ac:dyDescent="0.25">
      <c r="A223" s="1" t="s">
        <v>553</v>
      </c>
      <c r="B223" s="1" t="s">
        <v>554</v>
      </c>
      <c r="C223" s="1" t="s">
        <v>19</v>
      </c>
      <c r="D223" s="1">
        <v>30718545230</v>
      </c>
      <c r="E223" s="1" t="s">
        <v>20</v>
      </c>
      <c r="F223" s="1" t="s">
        <v>370</v>
      </c>
      <c r="G223" s="1" t="s">
        <v>53</v>
      </c>
      <c r="H223" s="1" t="s">
        <v>54</v>
      </c>
      <c r="I223" s="1" t="s">
        <v>557</v>
      </c>
      <c r="J223" s="2">
        <v>21</v>
      </c>
      <c r="K223" s="12">
        <v>6500</v>
      </c>
      <c r="L223" s="2">
        <v>5371.9</v>
      </c>
      <c r="M223" s="2">
        <v>0</v>
      </c>
      <c r="N223" s="12">
        <v>1128.0999999999999</v>
      </c>
      <c r="O223" s="2">
        <v>0</v>
      </c>
      <c r="P223" s="2">
        <v>0</v>
      </c>
      <c r="Q223" s="2">
        <v>0</v>
      </c>
      <c r="R223" s="2">
        <v>0</v>
      </c>
      <c r="S223" s="8" t="str">
        <f t="shared" si="9"/>
        <v>30718545230000400000062</v>
      </c>
      <c r="T223" s="14">
        <f>IFERROR(VLOOKUP(S223,AFIP!$F$2:$R$999999,12,FALSE),"NO")</f>
        <v>1128.0999999999999</v>
      </c>
      <c r="U223" s="10" t="str">
        <f t="shared" si="10"/>
        <v>SI</v>
      </c>
      <c r="V223" s="10">
        <f>IFERROR(VLOOKUP(S223,AFIP!$F$2:$R$999999,13,FALSE),"NO")</f>
        <v>6500</v>
      </c>
      <c r="W223" s="1" t="str">
        <f t="shared" si="11"/>
        <v>SI</v>
      </c>
    </row>
    <row r="224" spans="1:23" hidden="1" x14ac:dyDescent="0.25">
      <c r="A224" s="1" t="s">
        <v>137</v>
      </c>
      <c r="B224" s="1" t="s">
        <v>138</v>
      </c>
      <c r="C224" s="1" t="s">
        <v>19</v>
      </c>
      <c r="D224" s="1">
        <v>23066238849</v>
      </c>
      <c r="E224" s="1" t="s">
        <v>20</v>
      </c>
      <c r="F224" s="1" t="s">
        <v>370</v>
      </c>
      <c r="G224" s="1" t="s">
        <v>53</v>
      </c>
      <c r="H224" s="1" t="s">
        <v>54</v>
      </c>
      <c r="I224" s="1" t="s">
        <v>1089</v>
      </c>
      <c r="J224" s="2">
        <v>21</v>
      </c>
      <c r="K224" s="12">
        <v>40000</v>
      </c>
      <c r="L224" s="2">
        <v>33057.85</v>
      </c>
      <c r="M224" s="2">
        <v>0</v>
      </c>
      <c r="N224" s="12">
        <v>6942.15</v>
      </c>
      <c r="O224" s="2">
        <v>0</v>
      </c>
      <c r="P224" s="2">
        <v>0</v>
      </c>
      <c r="Q224" s="2">
        <v>0</v>
      </c>
      <c r="R224" s="2">
        <v>0</v>
      </c>
      <c r="S224" s="8" t="str">
        <f t="shared" si="9"/>
        <v>23066238849000500015214</v>
      </c>
      <c r="T224" s="14">
        <f>IFERROR(VLOOKUP(S224,AFIP!$F$2:$R$999999,12,FALSE),"NO")</f>
        <v>6942.15</v>
      </c>
      <c r="U224" s="10" t="str">
        <f t="shared" si="10"/>
        <v>SI</v>
      </c>
      <c r="V224" s="10">
        <f>IFERROR(VLOOKUP(S224,AFIP!$F$2:$R$999999,13,FALSE),"NO")</f>
        <v>40000</v>
      </c>
      <c r="W224" s="1" t="str">
        <f t="shared" si="11"/>
        <v>SI</v>
      </c>
    </row>
    <row r="225" spans="1:23" x14ac:dyDescent="0.25">
      <c r="A225" s="1" t="s">
        <v>97</v>
      </c>
      <c r="B225" s="1" t="s">
        <v>98</v>
      </c>
      <c r="C225" s="1" t="s">
        <v>19</v>
      </c>
      <c r="D225" s="1">
        <v>30545788167</v>
      </c>
      <c r="E225" s="1" t="s">
        <v>20</v>
      </c>
      <c r="F225" s="1" t="s">
        <v>370</v>
      </c>
      <c r="G225" s="1" t="s">
        <v>53</v>
      </c>
      <c r="H225" s="1" t="s">
        <v>54</v>
      </c>
      <c r="I225" s="1" t="s">
        <v>558</v>
      </c>
      <c r="J225" s="2">
        <v>27</v>
      </c>
      <c r="K225" s="12">
        <v>229516.98</v>
      </c>
      <c r="L225" s="2">
        <v>176551.52</v>
      </c>
      <c r="M225" s="2">
        <v>0</v>
      </c>
      <c r="N225" s="12">
        <v>47668.91</v>
      </c>
      <c r="O225" s="2">
        <v>5296.55</v>
      </c>
      <c r="P225" s="2">
        <v>0</v>
      </c>
      <c r="Q225" s="2">
        <v>0</v>
      </c>
      <c r="R225" s="2">
        <v>0</v>
      </c>
      <c r="S225" s="8" t="str">
        <f t="shared" si="9"/>
        <v>30545788167000505227865</v>
      </c>
      <c r="T225" s="14" t="str">
        <f>IFERROR(VLOOKUP(S225,AFIP!$F$2:$R$999999,12,FALSE),"NO")</f>
        <v>NO</v>
      </c>
      <c r="U225" s="10" t="str">
        <f t="shared" si="10"/>
        <v>NO</v>
      </c>
      <c r="V225" s="10" t="str">
        <f>IFERROR(VLOOKUP(S225,AFIP!$F$2:$R$999999,13,FALSE),"NO")</f>
        <v>NO</v>
      </c>
      <c r="W225" s="1" t="str">
        <f t="shared" si="11"/>
        <v>NO</v>
      </c>
    </row>
    <row r="226" spans="1:23" x14ac:dyDescent="0.25">
      <c r="A226" s="1" t="s">
        <v>97</v>
      </c>
      <c r="B226" s="1" t="s">
        <v>98</v>
      </c>
      <c r="C226" s="1" t="s">
        <v>19</v>
      </c>
      <c r="D226" s="1">
        <v>30545788167</v>
      </c>
      <c r="E226" s="1" t="s">
        <v>20</v>
      </c>
      <c r="F226" s="1" t="s">
        <v>370</v>
      </c>
      <c r="G226" s="1" t="s">
        <v>53</v>
      </c>
      <c r="H226" s="1" t="s">
        <v>54</v>
      </c>
      <c r="I226" s="1" t="s">
        <v>558</v>
      </c>
      <c r="J226" s="2">
        <v>0</v>
      </c>
      <c r="K226" s="12">
        <v>13547.7</v>
      </c>
      <c r="L226" s="2">
        <v>0</v>
      </c>
      <c r="M226" s="2">
        <v>13547.7</v>
      </c>
      <c r="N226" s="12">
        <v>0</v>
      </c>
      <c r="O226" s="2">
        <v>0</v>
      </c>
      <c r="P226" s="2">
        <v>0</v>
      </c>
      <c r="Q226" s="2">
        <v>0</v>
      </c>
      <c r="R226" s="2">
        <v>0</v>
      </c>
      <c r="S226" s="8" t="str">
        <f t="shared" si="9"/>
        <v>30545788167000505227865</v>
      </c>
      <c r="T226" s="14" t="str">
        <f>IFERROR(VLOOKUP(S226,AFIP!$F$2:$R$999999,12,FALSE),"NO")</f>
        <v>NO</v>
      </c>
      <c r="U226" s="10" t="str">
        <f t="shared" si="10"/>
        <v>NO</v>
      </c>
      <c r="V226" s="10" t="str">
        <f>IFERROR(VLOOKUP(S226,AFIP!$F$2:$R$999999,13,FALSE),"NO")</f>
        <v>NO</v>
      </c>
      <c r="W226" s="1" t="str">
        <f t="shared" si="11"/>
        <v>NO</v>
      </c>
    </row>
    <row r="227" spans="1:23" x14ac:dyDescent="0.25">
      <c r="A227" s="1" t="s">
        <v>97</v>
      </c>
      <c r="B227" s="1" t="s">
        <v>98</v>
      </c>
      <c r="C227" s="1" t="s">
        <v>19</v>
      </c>
      <c r="D227" s="1">
        <v>30545788167</v>
      </c>
      <c r="E227" s="1" t="s">
        <v>20</v>
      </c>
      <c r="F227" s="1" t="s">
        <v>370</v>
      </c>
      <c r="G227" s="1" t="s">
        <v>53</v>
      </c>
      <c r="H227" s="1" t="s">
        <v>54</v>
      </c>
      <c r="I227" s="1" t="s">
        <v>559</v>
      </c>
      <c r="J227" s="2">
        <v>27</v>
      </c>
      <c r="K227" s="12">
        <v>314644.96999999997</v>
      </c>
      <c r="L227" s="2">
        <v>242034.59</v>
      </c>
      <c r="M227" s="2">
        <v>0</v>
      </c>
      <c r="N227" s="12">
        <v>65349.34</v>
      </c>
      <c r="O227" s="2">
        <v>7261.04</v>
      </c>
      <c r="P227" s="2">
        <v>0</v>
      </c>
      <c r="Q227" s="2">
        <v>0</v>
      </c>
      <c r="R227" s="2">
        <v>0</v>
      </c>
      <c r="S227" s="8" t="str">
        <f t="shared" si="9"/>
        <v>30545788167000505228719</v>
      </c>
      <c r="T227" s="14" t="str">
        <f>IFERROR(VLOOKUP(S227,AFIP!$F$2:$R$999999,12,FALSE),"NO")</f>
        <v>NO</v>
      </c>
      <c r="U227" s="10" t="str">
        <f t="shared" si="10"/>
        <v>NO</v>
      </c>
      <c r="V227" s="10" t="str">
        <f>IFERROR(VLOOKUP(S227,AFIP!$F$2:$R$999999,13,FALSE),"NO")</f>
        <v>NO</v>
      </c>
      <c r="W227" s="1" t="str">
        <f t="shared" si="11"/>
        <v>NO</v>
      </c>
    </row>
    <row r="228" spans="1:23" x14ac:dyDescent="0.25">
      <c r="A228" s="1" t="s">
        <v>97</v>
      </c>
      <c r="B228" s="1" t="s">
        <v>98</v>
      </c>
      <c r="C228" s="1" t="s">
        <v>19</v>
      </c>
      <c r="D228" s="1">
        <v>30545788167</v>
      </c>
      <c r="E228" s="1" t="s">
        <v>20</v>
      </c>
      <c r="F228" s="1" t="s">
        <v>370</v>
      </c>
      <c r="G228" s="1" t="s">
        <v>53</v>
      </c>
      <c r="H228" s="1" t="s">
        <v>54</v>
      </c>
      <c r="I228" s="1" t="s">
        <v>559</v>
      </c>
      <c r="J228" s="2">
        <v>0</v>
      </c>
      <c r="K228" s="12">
        <v>16896.38</v>
      </c>
      <c r="L228" s="2">
        <v>0</v>
      </c>
      <c r="M228" s="2">
        <v>16896.38</v>
      </c>
      <c r="N228" s="12">
        <v>0</v>
      </c>
      <c r="O228" s="2">
        <v>0</v>
      </c>
      <c r="P228" s="2">
        <v>0</v>
      </c>
      <c r="Q228" s="2">
        <v>0</v>
      </c>
      <c r="R228" s="2">
        <v>0</v>
      </c>
      <c r="S228" s="8" t="str">
        <f t="shared" si="9"/>
        <v>30545788167000505228719</v>
      </c>
      <c r="T228" s="14" t="str">
        <f>IFERROR(VLOOKUP(S228,AFIP!$F$2:$R$999999,12,FALSE),"NO")</f>
        <v>NO</v>
      </c>
      <c r="U228" s="10" t="str">
        <f t="shared" si="10"/>
        <v>NO</v>
      </c>
      <c r="V228" s="10" t="str">
        <f>IFERROR(VLOOKUP(S228,AFIP!$F$2:$R$999999,13,FALSE),"NO")</f>
        <v>NO</v>
      </c>
      <c r="W228" s="1" t="str">
        <f t="shared" si="11"/>
        <v>NO</v>
      </c>
    </row>
    <row r="229" spans="1:23" x14ac:dyDescent="0.25">
      <c r="A229" s="1" t="s">
        <v>97</v>
      </c>
      <c r="B229" s="1" t="s">
        <v>98</v>
      </c>
      <c r="C229" s="1" t="s">
        <v>19</v>
      </c>
      <c r="D229" s="1">
        <v>30545788167</v>
      </c>
      <c r="E229" s="1" t="s">
        <v>20</v>
      </c>
      <c r="F229" s="1" t="s">
        <v>370</v>
      </c>
      <c r="G229" s="1" t="s">
        <v>53</v>
      </c>
      <c r="H229" s="1" t="s">
        <v>54</v>
      </c>
      <c r="I229" s="1" t="s">
        <v>560</v>
      </c>
      <c r="J229" s="2">
        <v>27</v>
      </c>
      <c r="K229" s="12">
        <v>232304.84</v>
      </c>
      <c r="L229" s="2">
        <v>178696.03</v>
      </c>
      <c r="M229" s="2">
        <v>0</v>
      </c>
      <c r="N229" s="12">
        <v>48247.93</v>
      </c>
      <c r="O229" s="2">
        <v>5360.88</v>
      </c>
      <c r="P229" s="2">
        <v>0</v>
      </c>
      <c r="Q229" s="2">
        <v>0</v>
      </c>
      <c r="R229" s="2">
        <v>0</v>
      </c>
      <c r="S229" s="8" t="str">
        <f t="shared" si="9"/>
        <v>30545788167000505228742</v>
      </c>
      <c r="T229" s="14" t="str">
        <f>IFERROR(VLOOKUP(S229,AFIP!$F$2:$R$999999,12,FALSE),"NO")</f>
        <v>NO</v>
      </c>
      <c r="U229" s="10" t="str">
        <f t="shared" si="10"/>
        <v>NO</v>
      </c>
      <c r="V229" s="10" t="str">
        <f>IFERROR(VLOOKUP(S229,AFIP!$F$2:$R$999999,13,FALSE),"NO")</f>
        <v>NO</v>
      </c>
      <c r="W229" s="1" t="str">
        <f t="shared" si="11"/>
        <v>NO</v>
      </c>
    </row>
    <row r="230" spans="1:23" x14ac:dyDescent="0.25">
      <c r="A230" s="1" t="s">
        <v>97</v>
      </c>
      <c r="B230" s="1" t="s">
        <v>98</v>
      </c>
      <c r="C230" s="1" t="s">
        <v>19</v>
      </c>
      <c r="D230" s="1">
        <v>30545788167</v>
      </c>
      <c r="E230" s="1" t="s">
        <v>20</v>
      </c>
      <c r="F230" s="1" t="s">
        <v>370</v>
      </c>
      <c r="G230" s="1" t="s">
        <v>53</v>
      </c>
      <c r="H230" s="1" t="s">
        <v>54</v>
      </c>
      <c r="I230" s="1" t="s">
        <v>560</v>
      </c>
      <c r="J230" s="2">
        <v>0</v>
      </c>
      <c r="K230" s="12">
        <v>12145.99</v>
      </c>
      <c r="L230" s="2">
        <v>0</v>
      </c>
      <c r="M230" s="2">
        <v>12145.99</v>
      </c>
      <c r="N230" s="12">
        <v>0</v>
      </c>
      <c r="O230" s="2">
        <v>0</v>
      </c>
      <c r="P230" s="2">
        <v>0</v>
      </c>
      <c r="Q230" s="2">
        <v>0</v>
      </c>
      <c r="R230" s="2">
        <v>0</v>
      </c>
      <c r="S230" s="8" t="str">
        <f t="shared" si="9"/>
        <v>30545788167000505228742</v>
      </c>
      <c r="T230" s="14" t="str">
        <f>IFERROR(VLOOKUP(S230,AFIP!$F$2:$R$999999,12,FALSE),"NO")</f>
        <v>NO</v>
      </c>
      <c r="U230" s="10" t="str">
        <f t="shared" si="10"/>
        <v>NO</v>
      </c>
      <c r="V230" s="10" t="str">
        <f>IFERROR(VLOOKUP(S230,AFIP!$F$2:$R$999999,13,FALSE),"NO")</f>
        <v>NO</v>
      </c>
      <c r="W230" s="1" t="str">
        <f t="shared" si="11"/>
        <v>NO</v>
      </c>
    </row>
    <row r="231" spans="1:23" x14ac:dyDescent="0.25">
      <c r="A231" s="1" t="s">
        <v>33</v>
      </c>
      <c r="B231" s="1" t="s">
        <v>34</v>
      </c>
      <c r="C231" s="1" t="s">
        <v>19</v>
      </c>
      <c r="D231" s="1">
        <v>33708336969</v>
      </c>
      <c r="E231" s="1" t="s">
        <v>20</v>
      </c>
      <c r="F231" s="1" t="s">
        <v>370</v>
      </c>
      <c r="G231" s="1" t="s">
        <v>53</v>
      </c>
      <c r="H231" s="1" t="s">
        <v>54</v>
      </c>
      <c r="I231" s="1" t="s">
        <v>561</v>
      </c>
      <c r="J231" s="2">
        <v>21</v>
      </c>
      <c r="K231" s="12">
        <v>8900</v>
      </c>
      <c r="L231" s="2">
        <v>7355.37</v>
      </c>
      <c r="M231" s="2">
        <v>0</v>
      </c>
      <c r="N231" s="12">
        <v>1544.63</v>
      </c>
      <c r="O231" s="2">
        <v>0</v>
      </c>
      <c r="P231" s="2">
        <v>0</v>
      </c>
      <c r="Q231" s="2">
        <v>0</v>
      </c>
      <c r="R231" s="2">
        <v>0</v>
      </c>
      <c r="S231" s="8" t="str">
        <f t="shared" si="9"/>
        <v>33708336969003600011999</v>
      </c>
      <c r="T231" s="14" t="str">
        <f>IFERROR(VLOOKUP(S231,AFIP!$F$2:$R$999999,12,FALSE),"NO")</f>
        <v>NO</v>
      </c>
      <c r="U231" s="10" t="str">
        <f t="shared" si="10"/>
        <v>NO</v>
      </c>
      <c r="V231" s="10" t="str">
        <f>IFERROR(VLOOKUP(S231,AFIP!$F$2:$R$999999,13,FALSE),"NO")</f>
        <v>NO</v>
      </c>
      <c r="W231" s="1" t="str">
        <f t="shared" si="11"/>
        <v>NO</v>
      </c>
    </row>
    <row r="232" spans="1:23" x14ac:dyDescent="0.25">
      <c r="A232" s="1" t="s">
        <v>33</v>
      </c>
      <c r="B232" s="1" t="s">
        <v>34</v>
      </c>
      <c r="C232" s="1" t="s">
        <v>19</v>
      </c>
      <c r="D232" s="1">
        <v>33708336969</v>
      </c>
      <c r="E232" s="1" t="s">
        <v>20</v>
      </c>
      <c r="F232" s="1" t="s">
        <v>370</v>
      </c>
      <c r="G232" s="1" t="s">
        <v>53</v>
      </c>
      <c r="H232" s="1" t="s">
        <v>54</v>
      </c>
      <c r="I232" s="1" t="s">
        <v>562</v>
      </c>
      <c r="J232" s="2">
        <v>21</v>
      </c>
      <c r="K232" s="12">
        <v>8000</v>
      </c>
      <c r="L232" s="2">
        <v>6611.57</v>
      </c>
      <c r="M232" s="2">
        <v>0</v>
      </c>
      <c r="N232" s="12">
        <v>1388.43</v>
      </c>
      <c r="O232" s="2">
        <v>0</v>
      </c>
      <c r="P232" s="2">
        <v>0</v>
      </c>
      <c r="Q232" s="2">
        <v>0</v>
      </c>
      <c r="R232" s="2">
        <v>0</v>
      </c>
      <c r="S232" s="8" t="str">
        <f t="shared" si="9"/>
        <v>33708336969003600012017</v>
      </c>
      <c r="T232" s="14" t="str">
        <f>IFERROR(VLOOKUP(S232,AFIP!$F$2:$R$999999,12,FALSE),"NO")</f>
        <v>NO</v>
      </c>
      <c r="U232" s="10" t="str">
        <f t="shared" si="10"/>
        <v>NO</v>
      </c>
      <c r="V232" s="10" t="str">
        <f>IFERROR(VLOOKUP(S232,AFIP!$F$2:$R$999999,13,FALSE),"NO")</f>
        <v>NO</v>
      </c>
      <c r="W232" s="1" t="str">
        <f t="shared" si="11"/>
        <v>NO</v>
      </c>
    </row>
    <row r="233" spans="1:23" hidden="1" x14ac:dyDescent="0.25">
      <c r="A233" s="1" t="s">
        <v>31</v>
      </c>
      <c r="B233" s="1" t="s">
        <v>32</v>
      </c>
      <c r="C233" s="1" t="s">
        <v>19</v>
      </c>
      <c r="D233" s="1">
        <v>30500529071</v>
      </c>
      <c r="E233" s="1" t="s">
        <v>20</v>
      </c>
      <c r="F233" s="1" t="s">
        <v>370</v>
      </c>
      <c r="G233" s="1" t="s">
        <v>53</v>
      </c>
      <c r="H233" s="1" t="s">
        <v>54</v>
      </c>
      <c r="I233" s="1" t="s">
        <v>563</v>
      </c>
      <c r="J233" s="2">
        <v>21</v>
      </c>
      <c r="K233" s="12">
        <v>1073371.06</v>
      </c>
      <c r="L233" s="2">
        <v>848514.67</v>
      </c>
      <c r="M233" s="2">
        <v>0</v>
      </c>
      <c r="N233" s="12">
        <v>178188.08</v>
      </c>
      <c r="O233" s="2">
        <v>25455.439999999999</v>
      </c>
      <c r="P233" s="2">
        <v>21212.87</v>
      </c>
      <c r="Q233" s="2">
        <v>0</v>
      </c>
      <c r="R233" s="2">
        <v>0</v>
      </c>
      <c r="S233" s="8" t="str">
        <f t="shared" si="9"/>
        <v>30500529071021500100377</v>
      </c>
      <c r="T233" s="14">
        <f>IFERROR(VLOOKUP(S233,AFIP!$F$2:$R$999999,12,FALSE),"NO")</f>
        <v>178188.08</v>
      </c>
      <c r="U233" s="10" t="str">
        <f t="shared" si="10"/>
        <v>SI</v>
      </c>
      <c r="V233" s="10">
        <f>IFERROR(VLOOKUP(S233,AFIP!$F$2:$R$999999,13,FALSE),"NO")</f>
        <v>1073371.06</v>
      </c>
      <c r="W233" s="1" t="str">
        <f t="shared" si="11"/>
        <v>SI</v>
      </c>
    </row>
    <row r="234" spans="1:23" hidden="1" x14ac:dyDescent="0.25">
      <c r="A234" s="1" t="s">
        <v>17</v>
      </c>
      <c r="B234" s="1" t="s">
        <v>18</v>
      </c>
      <c r="C234" s="1" t="s">
        <v>19</v>
      </c>
      <c r="D234" s="1">
        <v>30500529454</v>
      </c>
      <c r="E234" s="1" t="s">
        <v>20</v>
      </c>
      <c r="F234" s="1" t="s">
        <v>370</v>
      </c>
      <c r="G234" s="1" t="s">
        <v>53</v>
      </c>
      <c r="H234" s="1" t="s">
        <v>54</v>
      </c>
      <c r="I234" s="1" t="s">
        <v>564</v>
      </c>
      <c r="J234" s="2">
        <v>21</v>
      </c>
      <c r="K234" s="12">
        <v>62311060.659999996</v>
      </c>
      <c r="L234" s="2">
        <v>49322052</v>
      </c>
      <c r="M234" s="2">
        <v>0</v>
      </c>
      <c r="N234" s="12">
        <v>10357630.92</v>
      </c>
      <c r="O234" s="2">
        <v>1435296.95</v>
      </c>
      <c r="P234" s="2">
        <v>1196080.79</v>
      </c>
      <c r="Q234" s="2">
        <v>0</v>
      </c>
      <c r="R234" s="2">
        <v>0</v>
      </c>
      <c r="S234" s="8" t="str">
        <f t="shared" si="9"/>
        <v>30500529454026700906383</v>
      </c>
      <c r="T234" s="14">
        <f>IFERROR(VLOOKUP(S234,AFIP!$F$2:$R$999999,12,FALSE),"NO")</f>
        <v>10687993.699999999</v>
      </c>
      <c r="U234" s="10" t="str">
        <f t="shared" si="10"/>
        <v>NO</v>
      </c>
      <c r="V234" s="10">
        <f>IFERROR(VLOOKUP(S234,AFIP!$F$2:$R$999999,13,FALSE),"NO")</f>
        <v>64382438.219999999</v>
      </c>
      <c r="W234" s="1" t="str">
        <f t="shared" si="11"/>
        <v>NO</v>
      </c>
    </row>
    <row r="235" spans="1:23" hidden="1" x14ac:dyDescent="0.25">
      <c r="A235" s="1" t="s">
        <v>17</v>
      </c>
      <c r="B235" s="1" t="s">
        <v>18</v>
      </c>
      <c r="C235" s="1" t="s">
        <v>19</v>
      </c>
      <c r="D235" s="1">
        <v>30500529454</v>
      </c>
      <c r="E235" s="1" t="s">
        <v>20</v>
      </c>
      <c r="F235" s="1" t="s">
        <v>370</v>
      </c>
      <c r="G235" s="1" t="s">
        <v>53</v>
      </c>
      <c r="H235" s="1" t="s">
        <v>54</v>
      </c>
      <c r="I235" s="1" t="s">
        <v>564</v>
      </c>
      <c r="J235" s="2">
        <v>21</v>
      </c>
      <c r="K235" s="12">
        <v>2071377.56</v>
      </c>
      <c r="L235" s="2">
        <v>1573156.08</v>
      </c>
      <c r="M235" s="2">
        <v>0</v>
      </c>
      <c r="N235" s="12">
        <v>330362.78000000003</v>
      </c>
      <c r="O235" s="2">
        <v>91559.29</v>
      </c>
      <c r="P235" s="2">
        <v>76299.41</v>
      </c>
      <c r="Q235" s="2">
        <v>0</v>
      </c>
      <c r="R235" s="2">
        <v>0</v>
      </c>
      <c r="S235" s="8" t="str">
        <f t="shared" si="9"/>
        <v>30500529454026700906383</v>
      </c>
      <c r="T235" s="14">
        <f>IFERROR(VLOOKUP(S235,AFIP!$F$2:$R$999999,12,FALSE),"NO")</f>
        <v>10687993.699999999</v>
      </c>
      <c r="U235" s="10" t="str">
        <f t="shared" si="10"/>
        <v>NO</v>
      </c>
      <c r="V235" s="10">
        <f>IFERROR(VLOOKUP(S235,AFIP!$F$2:$R$999999,13,FALSE),"NO")</f>
        <v>64382438.219999999</v>
      </c>
      <c r="W235" s="1" t="str">
        <f t="shared" si="11"/>
        <v>NO</v>
      </c>
    </row>
    <row r="236" spans="1:23" hidden="1" x14ac:dyDescent="0.25">
      <c r="A236" s="1" t="s">
        <v>17</v>
      </c>
      <c r="B236" s="1" t="s">
        <v>18</v>
      </c>
      <c r="C236" s="1" t="s">
        <v>19</v>
      </c>
      <c r="D236" s="1">
        <v>30500529454</v>
      </c>
      <c r="E236" s="1" t="s">
        <v>20</v>
      </c>
      <c r="F236" s="1" t="s">
        <v>370</v>
      </c>
      <c r="G236" s="1" t="s">
        <v>53</v>
      </c>
      <c r="H236" s="1" t="s">
        <v>54</v>
      </c>
      <c r="I236" s="1" t="s">
        <v>565</v>
      </c>
      <c r="J236" s="2">
        <v>21</v>
      </c>
      <c r="K236" s="12">
        <v>645114.16</v>
      </c>
      <c r="L236" s="2">
        <v>510580.8</v>
      </c>
      <c r="M236" s="2">
        <v>0</v>
      </c>
      <c r="N236" s="12">
        <v>107221.96</v>
      </c>
      <c r="O236" s="2">
        <v>14897.13</v>
      </c>
      <c r="P236" s="2">
        <v>12414.27</v>
      </c>
      <c r="Q236" s="2">
        <v>0</v>
      </c>
      <c r="R236" s="2">
        <v>0</v>
      </c>
      <c r="S236" s="8" t="str">
        <f t="shared" si="9"/>
        <v>30500529454026700906384</v>
      </c>
      <c r="T236" s="14">
        <f>IFERROR(VLOOKUP(S236,AFIP!$F$2:$R$999999,12,FALSE),"NO")</f>
        <v>109894.8</v>
      </c>
      <c r="U236" s="10" t="str">
        <f t="shared" si="10"/>
        <v>NO</v>
      </c>
      <c r="V236" s="10">
        <f>IFERROR(VLOOKUP(S236,AFIP!$F$2:$R$999999,13,FALSE),"NO")</f>
        <v>661985.37</v>
      </c>
      <c r="W236" s="1" t="str">
        <f t="shared" si="11"/>
        <v>NO</v>
      </c>
    </row>
    <row r="237" spans="1:23" hidden="1" x14ac:dyDescent="0.25">
      <c r="A237" s="1" t="s">
        <v>17</v>
      </c>
      <c r="B237" s="1" t="s">
        <v>18</v>
      </c>
      <c r="C237" s="1" t="s">
        <v>19</v>
      </c>
      <c r="D237" s="1">
        <v>30500529454</v>
      </c>
      <c r="E237" s="1" t="s">
        <v>20</v>
      </c>
      <c r="F237" s="1" t="s">
        <v>370</v>
      </c>
      <c r="G237" s="1" t="s">
        <v>53</v>
      </c>
      <c r="H237" s="1" t="s">
        <v>54</v>
      </c>
      <c r="I237" s="1" t="s">
        <v>565</v>
      </c>
      <c r="J237" s="2">
        <v>21</v>
      </c>
      <c r="K237" s="12">
        <v>16871.21</v>
      </c>
      <c r="L237" s="2">
        <v>12727.8</v>
      </c>
      <c r="M237" s="2">
        <v>0</v>
      </c>
      <c r="N237" s="12">
        <v>2672.84</v>
      </c>
      <c r="O237" s="2">
        <v>802.13</v>
      </c>
      <c r="P237" s="2">
        <v>668.44</v>
      </c>
      <c r="Q237" s="2">
        <v>0</v>
      </c>
      <c r="R237" s="2">
        <v>0</v>
      </c>
      <c r="S237" s="8" t="str">
        <f t="shared" si="9"/>
        <v>30500529454026700906384</v>
      </c>
      <c r="T237" s="14">
        <f>IFERROR(VLOOKUP(S237,AFIP!$F$2:$R$999999,12,FALSE),"NO")</f>
        <v>109894.8</v>
      </c>
      <c r="U237" s="10" t="str">
        <f t="shared" si="10"/>
        <v>NO</v>
      </c>
      <c r="V237" s="10">
        <f>IFERROR(VLOOKUP(S237,AFIP!$F$2:$R$999999,13,FALSE),"NO")</f>
        <v>661985.37</v>
      </c>
      <c r="W237" s="1" t="str">
        <f t="shared" si="11"/>
        <v>NO</v>
      </c>
    </row>
    <row r="238" spans="1:23" hidden="1" x14ac:dyDescent="0.25">
      <c r="A238" s="1" t="s">
        <v>251</v>
      </c>
      <c r="B238" s="1" t="s">
        <v>252</v>
      </c>
      <c r="C238" s="1" t="s">
        <v>19</v>
      </c>
      <c r="D238" s="1">
        <v>30646512952</v>
      </c>
      <c r="E238" s="1" t="s">
        <v>20</v>
      </c>
      <c r="F238" s="1" t="s">
        <v>370</v>
      </c>
      <c r="G238" s="1" t="s">
        <v>53</v>
      </c>
      <c r="H238" s="1" t="s">
        <v>54</v>
      </c>
      <c r="I238" s="1" t="s">
        <v>566</v>
      </c>
      <c r="J238" s="2">
        <v>21</v>
      </c>
      <c r="K238" s="12">
        <v>9376791.3599999994</v>
      </c>
      <c r="L238" s="2">
        <v>7749414.3399999999</v>
      </c>
      <c r="M238" s="2">
        <v>0</v>
      </c>
      <c r="N238" s="12">
        <v>1627377.02</v>
      </c>
      <c r="O238" s="2">
        <v>0</v>
      </c>
      <c r="P238" s="2">
        <v>0</v>
      </c>
      <c r="Q238" s="2">
        <v>0</v>
      </c>
      <c r="R238" s="2">
        <v>0</v>
      </c>
      <c r="S238" s="8" t="str">
        <f t="shared" si="9"/>
        <v>30646512952033300124879</v>
      </c>
      <c r="T238" s="14">
        <f>IFERROR(VLOOKUP(S238,AFIP!$F$2:$R$999999,12,FALSE),"NO")</f>
        <v>1627377.02</v>
      </c>
      <c r="U238" s="10" t="str">
        <f t="shared" si="10"/>
        <v>SI</v>
      </c>
      <c r="V238" s="10">
        <f>IFERROR(VLOOKUP(S238,AFIP!$F$2:$R$999999,13,FALSE),"NO")</f>
        <v>9376791.3599999994</v>
      </c>
      <c r="W238" s="1" t="str">
        <f t="shared" si="11"/>
        <v>SI</v>
      </c>
    </row>
    <row r="239" spans="1:23" hidden="1" x14ac:dyDescent="0.25">
      <c r="A239" s="1" t="s">
        <v>226</v>
      </c>
      <c r="B239" s="1" t="s">
        <v>181</v>
      </c>
      <c r="C239" s="1" t="s">
        <v>19</v>
      </c>
      <c r="D239" s="1">
        <v>27173680614</v>
      </c>
      <c r="E239" s="1" t="s">
        <v>63</v>
      </c>
      <c r="F239" s="1" t="s">
        <v>370</v>
      </c>
      <c r="G239" s="1" t="s">
        <v>53</v>
      </c>
      <c r="H239" s="1" t="s">
        <v>59</v>
      </c>
      <c r="I239" s="1" t="s">
        <v>567</v>
      </c>
      <c r="J239" s="2">
        <v>0</v>
      </c>
      <c r="K239" s="12">
        <v>581160</v>
      </c>
      <c r="L239" s="2">
        <v>0</v>
      </c>
      <c r="M239" s="2">
        <v>581160</v>
      </c>
      <c r="N239" s="12">
        <v>0</v>
      </c>
      <c r="O239" s="2">
        <v>0</v>
      </c>
      <c r="P239" s="2">
        <v>0</v>
      </c>
      <c r="Q239" s="2">
        <v>0</v>
      </c>
      <c r="R239" s="2">
        <v>0</v>
      </c>
      <c r="S239" s="8" t="str">
        <f t="shared" si="9"/>
        <v>27173680614000200000501</v>
      </c>
      <c r="T239" s="14">
        <f>IFERROR(VLOOKUP(S239,AFIP!$F$2:$R$999999,12,FALSE),"NO")</f>
        <v>0</v>
      </c>
      <c r="U239" s="10" t="str">
        <f t="shared" si="10"/>
        <v>SI</v>
      </c>
      <c r="V239" s="10">
        <f>IFERROR(VLOOKUP(S239,AFIP!$F$2:$R$999999,13,FALSE),"NO")</f>
        <v>581160</v>
      </c>
      <c r="W239" s="1" t="str">
        <f t="shared" si="11"/>
        <v>SI</v>
      </c>
    </row>
    <row r="240" spans="1:23" hidden="1" x14ac:dyDescent="0.25">
      <c r="A240" s="1" t="s">
        <v>272</v>
      </c>
      <c r="B240" s="1" t="s">
        <v>273</v>
      </c>
      <c r="C240" s="1" t="s">
        <v>19</v>
      </c>
      <c r="D240" s="1">
        <v>20201399298</v>
      </c>
      <c r="E240" s="1" t="s">
        <v>20</v>
      </c>
      <c r="F240" s="1" t="s">
        <v>372</v>
      </c>
      <c r="G240" s="1" t="s">
        <v>53</v>
      </c>
      <c r="H240" s="1" t="s">
        <v>54</v>
      </c>
      <c r="I240" s="1" t="s">
        <v>568</v>
      </c>
      <c r="J240" s="2">
        <v>21</v>
      </c>
      <c r="K240" s="12">
        <v>703010</v>
      </c>
      <c r="L240" s="2">
        <v>581000</v>
      </c>
      <c r="M240" s="2">
        <v>0</v>
      </c>
      <c r="N240" s="12">
        <v>122010</v>
      </c>
      <c r="O240" s="2">
        <v>0</v>
      </c>
      <c r="P240" s="2">
        <v>0</v>
      </c>
      <c r="Q240" s="2">
        <v>0</v>
      </c>
      <c r="R240" s="2">
        <v>0</v>
      </c>
      <c r="S240" s="8" t="str">
        <f t="shared" si="9"/>
        <v>20201399298000200002270</v>
      </c>
      <c r="T240" s="14">
        <f>IFERROR(VLOOKUP(S240,AFIP!$F$2:$R$999999,12,FALSE),"NO")</f>
        <v>122010</v>
      </c>
      <c r="U240" s="10" t="str">
        <f t="shared" si="10"/>
        <v>SI</v>
      </c>
      <c r="V240" s="10">
        <f>IFERROR(VLOOKUP(S240,AFIP!$F$2:$R$999999,13,FALSE),"NO")</f>
        <v>703010</v>
      </c>
      <c r="W240" s="1" t="str">
        <f t="shared" si="11"/>
        <v>SI</v>
      </c>
    </row>
    <row r="241" spans="1:23" hidden="1" x14ac:dyDescent="0.25">
      <c r="A241" s="1" t="s">
        <v>125</v>
      </c>
      <c r="B241" s="1" t="s">
        <v>126</v>
      </c>
      <c r="C241" s="1" t="s">
        <v>19</v>
      </c>
      <c r="D241" s="1">
        <v>30545692763</v>
      </c>
      <c r="E241" s="1" t="s">
        <v>20</v>
      </c>
      <c r="F241" s="1" t="s">
        <v>372</v>
      </c>
      <c r="G241" s="1" t="s">
        <v>53</v>
      </c>
      <c r="H241" s="1" t="s">
        <v>54</v>
      </c>
      <c r="I241" s="1" t="s">
        <v>569</v>
      </c>
      <c r="J241" s="2">
        <v>21</v>
      </c>
      <c r="K241" s="12">
        <v>33526.68</v>
      </c>
      <c r="L241" s="2">
        <v>27708</v>
      </c>
      <c r="M241" s="2">
        <v>0</v>
      </c>
      <c r="N241" s="12">
        <v>5818.68</v>
      </c>
      <c r="O241" s="2">
        <v>0</v>
      </c>
      <c r="P241" s="2">
        <v>0</v>
      </c>
      <c r="Q241" s="2">
        <v>0</v>
      </c>
      <c r="R241" s="2">
        <v>0</v>
      </c>
      <c r="S241" s="8" t="str">
        <f t="shared" si="9"/>
        <v>30545692763000200154281</v>
      </c>
      <c r="T241" s="14">
        <f>IFERROR(VLOOKUP(S241,AFIP!$F$2:$R$999999,12,FALSE),"NO")</f>
        <v>7483.23</v>
      </c>
      <c r="U241" s="10" t="str">
        <f t="shared" si="10"/>
        <v>NO</v>
      </c>
      <c r="V241" s="10">
        <f>IFERROR(VLOOKUP(S241,AFIP!$F$2:$R$999999,13,FALSE),"NO")</f>
        <v>41356.230000000003</v>
      </c>
      <c r="W241" s="1" t="str">
        <f t="shared" si="11"/>
        <v>NO</v>
      </c>
    </row>
    <row r="242" spans="1:23" hidden="1" x14ac:dyDescent="0.25">
      <c r="A242" s="1" t="s">
        <v>125</v>
      </c>
      <c r="B242" s="1" t="s">
        <v>126</v>
      </c>
      <c r="C242" s="1" t="s">
        <v>19</v>
      </c>
      <c r="D242" s="1">
        <v>30545692763</v>
      </c>
      <c r="E242" s="1" t="s">
        <v>20</v>
      </c>
      <c r="F242" s="1" t="s">
        <v>372</v>
      </c>
      <c r="G242" s="1" t="s">
        <v>53</v>
      </c>
      <c r="H242" s="1" t="s">
        <v>54</v>
      </c>
      <c r="I242" s="1" t="s">
        <v>569</v>
      </c>
      <c r="J242" s="2">
        <v>27</v>
      </c>
      <c r="K242" s="12">
        <v>7829.55</v>
      </c>
      <c r="L242" s="2">
        <v>6165</v>
      </c>
      <c r="M242" s="2">
        <v>0</v>
      </c>
      <c r="N242" s="12">
        <v>1664.55</v>
      </c>
      <c r="O242" s="2">
        <v>0</v>
      </c>
      <c r="P242" s="2">
        <v>0</v>
      </c>
      <c r="Q242" s="2">
        <v>0</v>
      </c>
      <c r="R242" s="2">
        <v>0</v>
      </c>
      <c r="S242" s="8" t="str">
        <f t="shared" si="9"/>
        <v>30545692763000200154281</v>
      </c>
      <c r="T242" s="14">
        <f>IFERROR(VLOOKUP(S242,AFIP!$F$2:$R$999999,12,FALSE),"NO")</f>
        <v>7483.23</v>
      </c>
      <c r="U242" s="10" t="str">
        <f t="shared" si="10"/>
        <v>NO</v>
      </c>
      <c r="V242" s="10">
        <f>IFERROR(VLOOKUP(S242,AFIP!$F$2:$R$999999,13,FALSE),"NO")</f>
        <v>41356.230000000003</v>
      </c>
      <c r="W242" s="1" t="str">
        <f t="shared" si="11"/>
        <v>NO</v>
      </c>
    </row>
    <row r="243" spans="1:23" hidden="1" x14ac:dyDescent="0.25">
      <c r="A243" s="1" t="s">
        <v>570</v>
      </c>
      <c r="B243" s="1" t="s">
        <v>571</v>
      </c>
      <c r="C243" s="1" t="s">
        <v>19</v>
      </c>
      <c r="D243" s="1">
        <v>30717903524</v>
      </c>
      <c r="E243" s="1" t="s">
        <v>20</v>
      </c>
      <c r="F243" s="1" t="s">
        <v>372</v>
      </c>
      <c r="G243" s="1" t="s">
        <v>53</v>
      </c>
      <c r="H243" s="1" t="s">
        <v>54</v>
      </c>
      <c r="I243" s="1" t="s">
        <v>572</v>
      </c>
      <c r="J243" s="2">
        <v>21</v>
      </c>
      <c r="K243" s="12">
        <v>30600</v>
      </c>
      <c r="L243" s="2">
        <v>25289.26</v>
      </c>
      <c r="M243" s="2">
        <v>0</v>
      </c>
      <c r="N243" s="12">
        <v>5310.74</v>
      </c>
      <c r="O243" s="2">
        <v>0</v>
      </c>
      <c r="P243" s="2">
        <v>0</v>
      </c>
      <c r="Q243" s="2">
        <v>0</v>
      </c>
      <c r="R243" s="2">
        <v>0</v>
      </c>
      <c r="S243" s="8" t="str">
        <f t="shared" si="9"/>
        <v>30717903524000300000121</v>
      </c>
      <c r="T243" s="14">
        <f>IFERROR(VLOOKUP(S243,AFIP!$F$2:$R$999999,12,FALSE),"NO")</f>
        <v>5310.74</v>
      </c>
      <c r="U243" s="10" t="str">
        <f t="shared" si="10"/>
        <v>SI</v>
      </c>
      <c r="V243" s="10">
        <f>IFERROR(VLOOKUP(S243,AFIP!$F$2:$R$999999,13,FALSE),"NO")</f>
        <v>30600</v>
      </c>
      <c r="W243" s="1" t="str">
        <f t="shared" si="11"/>
        <v>SI</v>
      </c>
    </row>
    <row r="244" spans="1:23" hidden="1" x14ac:dyDescent="0.25">
      <c r="A244" s="1" t="s">
        <v>270</v>
      </c>
      <c r="B244" s="1" t="s">
        <v>271</v>
      </c>
      <c r="C244" s="1" t="s">
        <v>19</v>
      </c>
      <c r="D244" s="1">
        <v>30717522636</v>
      </c>
      <c r="E244" s="1" t="s">
        <v>20</v>
      </c>
      <c r="F244" s="1" t="s">
        <v>372</v>
      </c>
      <c r="G244" s="1" t="s">
        <v>53</v>
      </c>
      <c r="H244" s="1" t="s">
        <v>54</v>
      </c>
      <c r="I244" s="1" t="s">
        <v>573</v>
      </c>
      <c r="J244" s="2">
        <v>21</v>
      </c>
      <c r="K244" s="12">
        <v>1111083.1200000001</v>
      </c>
      <c r="L244" s="2">
        <v>918250.51</v>
      </c>
      <c r="M244" s="2">
        <v>0</v>
      </c>
      <c r="N244" s="12">
        <v>192832.61</v>
      </c>
      <c r="O244" s="2">
        <v>0</v>
      </c>
      <c r="P244" s="2">
        <v>0</v>
      </c>
      <c r="Q244" s="2">
        <v>0</v>
      </c>
      <c r="R244" s="2">
        <v>0</v>
      </c>
      <c r="S244" s="8" t="str">
        <f t="shared" si="9"/>
        <v>30717522636000300001084</v>
      </c>
      <c r="T244" s="14">
        <f>IFERROR(VLOOKUP(S244,AFIP!$F$2:$R$999999,12,FALSE),"NO")</f>
        <v>192832.61</v>
      </c>
      <c r="U244" s="10" t="str">
        <f t="shared" si="10"/>
        <v>SI</v>
      </c>
      <c r="V244" s="10">
        <f>IFERROR(VLOOKUP(S244,AFIP!$F$2:$R$999999,13,FALSE),"NO")</f>
        <v>1168930</v>
      </c>
      <c r="W244" s="1" t="str">
        <f t="shared" si="11"/>
        <v>NO</v>
      </c>
    </row>
    <row r="245" spans="1:23" hidden="1" x14ac:dyDescent="0.25">
      <c r="A245" s="1" t="s">
        <v>270</v>
      </c>
      <c r="B245" s="1" t="s">
        <v>271</v>
      </c>
      <c r="C245" s="1" t="s">
        <v>19</v>
      </c>
      <c r="D245" s="1">
        <v>30717522636</v>
      </c>
      <c r="E245" s="1" t="s">
        <v>20</v>
      </c>
      <c r="F245" s="1" t="s">
        <v>372</v>
      </c>
      <c r="G245" s="1" t="s">
        <v>53</v>
      </c>
      <c r="H245" s="1" t="s">
        <v>54</v>
      </c>
      <c r="I245" s="1" t="s">
        <v>573</v>
      </c>
      <c r="J245" s="2">
        <v>0</v>
      </c>
      <c r="K245" s="12">
        <v>57846.879999999997</v>
      </c>
      <c r="L245" s="2">
        <v>0</v>
      </c>
      <c r="M245" s="2">
        <v>57846.879999999997</v>
      </c>
      <c r="N245" s="12">
        <v>0</v>
      </c>
      <c r="O245" s="2">
        <v>0</v>
      </c>
      <c r="P245" s="2">
        <v>0</v>
      </c>
      <c r="Q245" s="2">
        <v>0</v>
      </c>
      <c r="R245" s="2">
        <v>0</v>
      </c>
      <c r="S245" s="8" t="str">
        <f t="shared" si="9"/>
        <v>30717522636000300001084</v>
      </c>
      <c r="T245" s="14">
        <f>IFERROR(VLOOKUP(S245,AFIP!$F$2:$R$999999,12,FALSE),"NO")</f>
        <v>192832.61</v>
      </c>
      <c r="U245" s="10" t="str">
        <f t="shared" si="10"/>
        <v>NO</v>
      </c>
      <c r="V245" s="10">
        <f>IFERROR(VLOOKUP(S245,AFIP!$F$2:$R$999999,13,FALSE),"NO")</f>
        <v>1168930</v>
      </c>
      <c r="W245" s="1" t="str">
        <f t="shared" si="11"/>
        <v>NO</v>
      </c>
    </row>
    <row r="246" spans="1:23" hidden="1" x14ac:dyDescent="0.25">
      <c r="A246" s="1" t="s">
        <v>113</v>
      </c>
      <c r="B246" s="1" t="s">
        <v>114</v>
      </c>
      <c r="C246" s="1" t="s">
        <v>19</v>
      </c>
      <c r="D246" s="1">
        <v>30612003919</v>
      </c>
      <c r="E246" s="1" t="s">
        <v>20</v>
      </c>
      <c r="F246" s="1" t="s">
        <v>372</v>
      </c>
      <c r="G246" s="1" t="s">
        <v>53</v>
      </c>
      <c r="H246" s="1" t="s">
        <v>54</v>
      </c>
      <c r="I246" s="1" t="s">
        <v>574</v>
      </c>
      <c r="J246" s="2">
        <v>21</v>
      </c>
      <c r="K246" s="12">
        <v>18000</v>
      </c>
      <c r="L246" s="2">
        <v>14876.03</v>
      </c>
      <c r="M246" s="2">
        <v>0</v>
      </c>
      <c r="N246" s="12">
        <v>3123.97</v>
      </c>
      <c r="O246" s="2">
        <v>0</v>
      </c>
      <c r="P246" s="2">
        <v>0</v>
      </c>
      <c r="Q246" s="2">
        <v>0</v>
      </c>
      <c r="R246" s="2">
        <v>0</v>
      </c>
      <c r="S246" s="8" t="str">
        <f t="shared" si="9"/>
        <v>30612003919000300002394</v>
      </c>
      <c r="T246" s="14">
        <f>IFERROR(VLOOKUP(S246,AFIP!$F$2:$R$999999,12,FALSE),"NO")</f>
        <v>3123.97</v>
      </c>
      <c r="U246" s="10" t="str">
        <f t="shared" si="10"/>
        <v>SI</v>
      </c>
      <c r="V246" s="10">
        <f>IFERROR(VLOOKUP(S246,AFIP!$F$2:$R$999999,13,FALSE),"NO")</f>
        <v>18000</v>
      </c>
      <c r="W246" s="1" t="str">
        <f t="shared" si="11"/>
        <v>SI</v>
      </c>
    </row>
    <row r="247" spans="1:23" hidden="1" x14ac:dyDescent="0.25">
      <c r="A247" s="1" t="s">
        <v>229</v>
      </c>
      <c r="B247" s="1" t="s">
        <v>230</v>
      </c>
      <c r="C247" s="1" t="s">
        <v>19</v>
      </c>
      <c r="D247" s="1">
        <v>20335001932</v>
      </c>
      <c r="E247" s="1" t="s">
        <v>20</v>
      </c>
      <c r="F247" s="1" t="s">
        <v>372</v>
      </c>
      <c r="G247" s="1" t="s">
        <v>53</v>
      </c>
      <c r="H247" s="1" t="s">
        <v>54</v>
      </c>
      <c r="I247" s="1" t="s">
        <v>575</v>
      </c>
      <c r="J247" s="2">
        <v>21</v>
      </c>
      <c r="K247" s="12">
        <v>4370</v>
      </c>
      <c r="L247" s="2">
        <v>3611.57</v>
      </c>
      <c r="M247" s="2">
        <v>0</v>
      </c>
      <c r="N247" s="12">
        <v>758.43</v>
      </c>
      <c r="O247" s="2">
        <v>0</v>
      </c>
      <c r="P247" s="2">
        <v>0</v>
      </c>
      <c r="Q247" s="2">
        <v>0</v>
      </c>
      <c r="R247" s="2">
        <v>0</v>
      </c>
      <c r="S247" s="8" t="str">
        <f t="shared" si="9"/>
        <v>20335001932000400002656</v>
      </c>
      <c r="T247" s="14">
        <f>IFERROR(VLOOKUP(S247,AFIP!$F$2:$R$999999,12,FALSE),"NO")</f>
        <v>758.43</v>
      </c>
      <c r="U247" s="10" t="str">
        <f t="shared" si="10"/>
        <v>SI</v>
      </c>
      <c r="V247" s="10">
        <f>IFERROR(VLOOKUP(S247,AFIP!$F$2:$R$999999,13,FALSE),"NO")</f>
        <v>4370</v>
      </c>
      <c r="W247" s="1" t="str">
        <f t="shared" si="11"/>
        <v>SI</v>
      </c>
    </row>
    <row r="248" spans="1:23" hidden="1" x14ac:dyDescent="0.25">
      <c r="A248" s="1" t="s">
        <v>576</v>
      </c>
      <c r="B248" s="1" t="s">
        <v>577</v>
      </c>
      <c r="C248" s="1" t="s">
        <v>19</v>
      </c>
      <c r="D248" s="1">
        <v>30684420085</v>
      </c>
      <c r="E248" s="1" t="s">
        <v>20</v>
      </c>
      <c r="F248" s="1" t="s">
        <v>372</v>
      </c>
      <c r="G248" s="1" t="s">
        <v>53</v>
      </c>
      <c r="H248" s="1" t="s">
        <v>54</v>
      </c>
      <c r="I248" s="1" t="s">
        <v>578</v>
      </c>
      <c r="J248" s="2">
        <v>21</v>
      </c>
      <c r="K248" s="12">
        <v>2891295</v>
      </c>
      <c r="L248" s="2">
        <v>2389500</v>
      </c>
      <c r="M248" s="2">
        <v>0</v>
      </c>
      <c r="N248" s="12">
        <v>501795</v>
      </c>
      <c r="O248" s="2">
        <v>0</v>
      </c>
      <c r="P248" s="2">
        <v>0</v>
      </c>
      <c r="Q248" s="2">
        <v>0</v>
      </c>
      <c r="R248" s="2">
        <v>0</v>
      </c>
      <c r="S248" s="8" t="str">
        <f t="shared" si="9"/>
        <v>30684420085000800002011</v>
      </c>
      <c r="T248" s="14">
        <f>IFERROR(VLOOKUP(S248,AFIP!$F$2:$R$999999,12,FALSE),"NO")</f>
        <v>501795</v>
      </c>
      <c r="U248" s="10" t="str">
        <f t="shared" si="10"/>
        <v>SI</v>
      </c>
      <c r="V248" s="10">
        <f>IFERROR(VLOOKUP(S248,AFIP!$F$2:$R$999999,13,FALSE),"NO")</f>
        <v>2891295</v>
      </c>
      <c r="W248" s="1" t="str">
        <f t="shared" si="11"/>
        <v>SI</v>
      </c>
    </row>
    <row r="249" spans="1:23" hidden="1" x14ac:dyDescent="0.25">
      <c r="A249" s="1" t="s">
        <v>43</v>
      </c>
      <c r="B249" s="1" t="s">
        <v>44</v>
      </c>
      <c r="C249" s="1" t="s">
        <v>19</v>
      </c>
      <c r="D249" s="1">
        <v>30502036269</v>
      </c>
      <c r="E249" s="1" t="s">
        <v>20</v>
      </c>
      <c r="F249" s="1" t="s">
        <v>372</v>
      </c>
      <c r="G249" s="1" t="s">
        <v>53</v>
      </c>
      <c r="H249" s="1" t="s">
        <v>54</v>
      </c>
      <c r="I249" s="1" t="s">
        <v>579</v>
      </c>
      <c r="J249" s="2">
        <v>21</v>
      </c>
      <c r="K249" s="12">
        <v>1280648.93</v>
      </c>
      <c r="L249" s="2">
        <v>1058387.55</v>
      </c>
      <c r="M249" s="2">
        <v>0</v>
      </c>
      <c r="N249" s="12">
        <v>222261.38</v>
      </c>
      <c r="O249" s="2">
        <v>0</v>
      </c>
      <c r="P249" s="2">
        <v>0</v>
      </c>
      <c r="Q249" s="2">
        <v>0</v>
      </c>
      <c r="R249" s="2">
        <v>0</v>
      </c>
      <c r="S249" s="8" t="str">
        <f t="shared" si="9"/>
        <v>30502036269001000012250</v>
      </c>
      <c r="T249" s="14">
        <f>IFERROR(VLOOKUP(S249,AFIP!$F$2:$R$999999,12,FALSE),"NO")</f>
        <v>222261.38</v>
      </c>
      <c r="U249" s="10" t="str">
        <f t="shared" si="10"/>
        <v>SI</v>
      </c>
      <c r="V249" s="10">
        <f>IFERROR(VLOOKUP(S249,AFIP!$F$2:$R$999999,13,FALSE),"NO")</f>
        <v>1280648.93</v>
      </c>
      <c r="W249" s="1" t="str">
        <f t="shared" si="11"/>
        <v>SI</v>
      </c>
    </row>
    <row r="250" spans="1:23" hidden="1" x14ac:dyDescent="0.25">
      <c r="A250" s="1" t="s">
        <v>43</v>
      </c>
      <c r="B250" s="1" t="s">
        <v>44</v>
      </c>
      <c r="C250" s="1" t="s">
        <v>19</v>
      </c>
      <c r="D250" s="1">
        <v>30502036269</v>
      </c>
      <c r="E250" s="1" t="s">
        <v>20</v>
      </c>
      <c r="F250" s="1" t="s">
        <v>372</v>
      </c>
      <c r="G250" s="1" t="s">
        <v>53</v>
      </c>
      <c r="H250" s="1" t="s">
        <v>54</v>
      </c>
      <c r="I250" s="1" t="s">
        <v>580</v>
      </c>
      <c r="J250" s="2">
        <v>21</v>
      </c>
      <c r="K250" s="12">
        <v>2895898.83</v>
      </c>
      <c r="L250" s="2">
        <v>2393304.8199999998</v>
      </c>
      <c r="M250" s="2">
        <v>0</v>
      </c>
      <c r="N250" s="12">
        <v>502594.01</v>
      </c>
      <c r="O250" s="2">
        <v>0</v>
      </c>
      <c r="P250" s="2">
        <v>0</v>
      </c>
      <c r="Q250" s="2">
        <v>0</v>
      </c>
      <c r="R250" s="2">
        <v>0</v>
      </c>
      <c r="S250" s="8" t="str">
        <f t="shared" si="9"/>
        <v>30502036269001000012251</v>
      </c>
      <c r="T250" s="14">
        <f>IFERROR(VLOOKUP(S250,AFIP!$F$2:$R$999999,12,FALSE),"NO")</f>
        <v>502594.01</v>
      </c>
      <c r="U250" s="10" t="str">
        <f t="shared" si="10"/>
        <v>SI</v>
      </c>
      <c r="V250" s="10">
        <f>IFERROR(VLOOKUP(S250,AFIP!$F$2:$R$999999,13,FALSE),"NO")</f>
        <v>2895898.83</v>
      </c>
      <c r="W250" s="1" t="str">
        <f t="shared" si="11"/>
        <v>SI</v>
      </c>
    </row>
    <row r="251" spans="1:23" hidden="1" x14ac:dyDescent="0.25">
      <c r="A251" s="1" t="s">
        <v>91</v>
      </c>
      <c r="B251" s="1" t="s">
        <v>92</v>
      </c>
      <c r="C251" s="1" t="s">
        <v>19</v>
      </c>
      <c r="D251" s="1">
        <v>30601652044</v>
      </c>
      <c r="E251" s="1" t="s">
        <v>20</v>
      </c>
      <c r="F251" s="1" t="s">
        <v>372</v>
      </c>
      <c r="G251" s="1" t="s">
        <v>53</v>
      </c>
      <c r="H251" s="1" t="s">
        <v>54</v>
      </c>
      <c r="I251" s="1" t="s">
        <v>581</v>
      </c>
      <c r="J251" s="2">
        <v>21</v>
      </c>
      <c r="K251" s="12">
        <v>39129.83</v>
      </c>
      <c r="L251" s="2">
        <v>32338.7</v>
      </c>
      <c r="M251" s="2">
        <v>0</v>
      </c>
      <c r="N251" s="12">
        <v>6791.13</v>
      </c>
      <c r="O251" s="2">
        <v>0</v>
      </c>
      <c r="P251" s="2">
        <v>0</v>
      </c>
      <c r="Q251" s="2">
        <v>0</v>
      </c>
      <c r="R251" s="2">
        <v>0</v>
      </c>
      <c r="S251" s="8" t="str">
        <f t="shared" si="9"/>
        <v>30601652044001800009346</v>
      </c>
      <c r="T251" s="14">
        <f>IFERROR(VLOOKUP(S251,AFIP!$F$2:$R$999999,12,FALSE),"NO")</f>
        <v>6791.13</v>
      </c>
      <c r="U251" s="10" t="str">
        <f t="shared" si="10"/>
        <v>SI</v>
      </c>
      <c r="V251" s="10">
        <f>IFERROR(VLOOKUP(S251,AFIP!$F$2:$R$999999,13,FALSE),"NO")</f>
        <v>39129.83</v>
      </c>
      <c r="W251" s="1" t="str">
        <f t="shared" si="11"/>
        <v>SI</v>
      </c>
    </row>
    <row r="252" spans="1:23" hidden="1" x14ac:dyDescent="0.25">
      <c r="A252" s="1" t="s">
        <v>1090</v>
      </c>
      <c r="B252" s="1" t="s">
        <v>1091</v>
      </c>
      <c r="C252" s="1" t="s">
        <v>19</v>
      </c>
      <c r="D252" s="1">
        <v>30543035064</v>
      </c>
      <c r="E252" s="1" t="s">
        <v>20</v>
      </c>
      <c r="F252" s="1" t="s">
        <v>372</v>
      </c>
      <c r="G252" s="1" t="s">
        <v>53</v>
      </c>
      <c r="H252" s="1" t="s">
        <v>54</v>
      </c>
      <c r="I252" s="1" t="s">
        <v>1092</v>
      </c>
      <c r="J252" s="2">
        <v>21</v>
      </c>
      <c r="K252" s="12">
        <v>87999.97</v>
      </c>
      <c r="L252" s="2">
        <v>72727.25</v>
      </c>
      <c r="M252" s="2">
        <v>0</v>
      </c>
      <c r="N252" s="12">
        <v>15272.72</v>
      </c>
      <c r="O252" s="2">
        <v>0</v>
      </c>
      <c r="P252" s="2">
        <v>0</v>
      </c>
      <c r="Q252" s="2">
        <v>0</v>
      </c>
      <c r="R252" s="2">
        <v>0</v>
      </c>
      <c r="S252" s="8" t="str">
        <f t="shared" si="9"/>
        <v>30543035064002500054028</v>
      </c>
      <c r="T252" s="14">
        <f>IFERROR(VLOOKUP(S252,AFIP!$F$2:$R$999999,12,FALSE),"NO")</f>
        <v>15272.72</v>
      </c>
      <c r="U252" s="10" t="str">
        <f t="shared" si="10"/>
        <v>SI</v>
      </c>
      <c r="V252" s="10">
        <f>IFERROR(VLOOKUP(S252,AFIP!$F$2:$R$999999,13,FALSE),"NO")</f>
        <v>99999.96</v>
      </c>
      <c r="W252" s="1" t="str">
        <f t="shared" si="11"/>
        <v>NO</v>
      </c>
    </row>
    <row r="253" spans="1:23" hidden="1" x14ac:dyDescent="0.25">
      <c r="A253" s="1" t="s">
        <v>1090</v>
      </c>
      <c r="B253" s="1" t="s">
        <v>1091</v>
      </c>
      <c r="C253" s="1" t="s">
        <v>19</v>
      </c>
      <c r="D253" s="1">
        <v>30543035064</v>
      </c>
      <c r="E253" s="1" t="s">
        <v>20</v>
      </c>
      <c r="F253" s="1" t="s">
        <v>372</v>
      </c>
      <c r="G253" s="1" t="s">
        <v>53</v>
      </c>
      <c r="H253" s="1" t="s">
        <v>54</v>
      </c>
      <c r="I253" s="1" t="s">
        <v>1092</v>
      </c>
      <c r="J253" s="2">
        <v>0</v>
      </c>
      <c r="K253" s="12">
        <v>11999.99</v>
      </c>
      <c r="L253" s="2">
        <v>0</v>
      </c>
      <c r="M253" s="2">
        <v>11999.99</v>
      </c>
      <c r="N253" s="12">
        <v>0</v>
      </c>
      <c r="O253" s="2">
        <v>0</v>
      </c>
      <c r="P253" s="2">
        <v>0</v>
      </c>
      <c r="Q253" s="2">
        <v>0</v>
      </c>
      <c r="R253" s="2">
        <v>0</v>
      </c>
      <c r="S253" s="8" t="str">
        <f t="shared" si="9"/>
        <v>30543035064002500054028</v>
      </c>
      <c r="T253" s="14">
        <f>IFERROR(VLOOKUP(S253,AFIP!$F$2:$R$999999,12,FALSE),"NO")</f>
        <v>15272.72</v>
      </c>
      <c r="U253" s="10" t="str">
        <f t="shared" si="10"/>
        <v>NO</v>
      </c>
      <c r="V253" s="10">
        <f>IFERROR(VLOOKUP(S253,AFIP!$F$2:$R$999999,13,FALSE),"NO")</f>
        <v>99999.96</v>
      </c>
      <c r="W253" s="1" t="str">
        <f t="shared" si="11"/>
        <v>NO</v>
      </c>
    </row>
    <row r="254" spans="1:23" hidden="1" x14ac:dyDescent="0.25">
      <c r="A254" s="1" t="s">
        <v>33</v>
      </c>
      <c r="B254" s="1" t="s">
        <v>34</v>
      </c>
      <c r="C254" s="1" t="s">
        <v>19</v>
      </c>
      <c r="D254" s="1">
        <v>33708336969</v>
      </c>
      <c r="E254" s="1" t="s">
        <v>20</v>
      </c>
      <c r="F254" s="1" t="s">
        <v>372</v>
      </c>
      <c r="G254" s="1" t="s">
        <v>53</v>
      </c>
      <c r="H254" s="1" t="s">
        <v>54</v>
      </c>
      <c r="I254" s="1" t="s">
        <v>582</v>
      </c>
      <c r="J254" s="2">
        <v>21</v>
      </c>
      <c r="K254" s="12">
        <v>973984.04</v>
      </c>
      <c r="L254" s="2">
        <v>804945.49</v>
      </c>
      <c r="M254" s="2">
        <v>0</v>
      </c>
      <c r="N254" s="12">
        <v>169038.55</v>
      </c>
      <c r="O254" s="2">
        <v>0</v>
      </c>
      <c r="P254" s="2">
        <v>0</v>
      </c>
      <c r="Q254" s="2">
        <v>0</v>
      </c>
      <c r="R254" s="2">
        <v>0</v>
      </c>
      <c r="S254" s="8" t="str">
        <f t="shared" si="9"/>
        <v>33708336969002700029623</v>
      </c>
      <c r="T254" s="14">
        <f>IFERROR(VLOOKUP(S254,AFIP!$F$2:$R$999999,12,FALSE),"NO")</f>
        <v>169038.55</v>
      </c>
      <c r="U254" s="10" t="str">
        <f t="shared" si="10"/>
        <v>SI</v>
      </c>
      <c r="V254" s="10">
        <f>IFERROR(VLOOKUP(S254,AFIP!$F$2:$R$999999,13,FALSE),"NO")</f>
        <v>1106857.99</v>
      </c>
      <c r="W254" s="1" t="str">
        <f t="shared" si="11"/>
        <v>NO</v>
      </c>
    </row>
    <row r="255" spans="1:23" hidden="1" x14ac:dyDescent="0.25">
      <c r="A255" s="1" t="s">
        <v>33</v>
      </c>
      <c r="B255" s="1" t="s">
        <v>34</v>
      </c>
      <c r="C255" s="1" t="s">
        <v>19</v>
      </c>
      <c r="D255" s="1">
        <v>33708336969</v>
      </c>
      <c r="E255" s="1" t="s">
        <v>20</v>
      </c>
      <c r="F255" s="1" t="s">
        <v>372</v>
      </c>
      <c r="G255" s="1" t="s">
        <v>53</v>
      </c>
      <c r="H255" s="1" t="s">
        <v>54</v>
      </c>
      <c r="I255" s="1" t="s">
        <v>582</v>
      </c>
      <c r="J255" s="2">
        <v>0</v>
      </c>
      <c r="K255" s="12">
        <v>132873.96</v>
      </c>
      <c r="L255" s="2">
        <v>0</v>
      </c>
      <c r="M255" s="2">
        <v>132873.96</v>
      </c>
      <c r="N255" s="12">
        <v>0</v>
      </c>
      <c r="O255" s="2">
        <v>0</v>
      </c>
      <c r="P255" s="2">
        <v>0</v>
      </c>
      <c r="Q255" s="2">
        <v>0</v>
      </c>
      <c r="R255" s="2">
        <v>0</v>
      </c>
      <c r="S255" s="8" t="str">
        <f t="shared" si="9"/>
        <v>33708336969002700029623</v>
      </c>
      <c r="T255" s="14">
        <f>IFERROR(VLOOKUP(S255,AFIP!$F$2:$R$999999,12,FALSE),"NO")</f>
        <v>169038.55</v>
      </c>
      <c r="U255" s="10" t="str">
        <f t="shared" si="10"/>
        <v>NO</v>
      </c>
      <c r="V255" s="10">
        <f>IFERROR(VLOOKUP(S255,AFIP!$F$2:$R$999999,13,FALSE),"NO")</f>
        <v>1106857.99</v>
      </c>
      <c r="W255" s="1" t="str">
        <f t="shared" si="11"/>
        <v>NO</v>
      </c>
    </row>
    <row r="256" spans="1:23" x14ac:dyDescent="0.25">
      <c r="A256" s="1" t="s">
        <v>33</v>
      </c>
      <c r="B256" s="1" t="s">
        <v>34</v>
      </c>
      <c r="C256" s="1" t="s">
        <v>19</v>
      </c>
      <c r="D256" s="1">
        <v>33708336969</v>
      </c>
      <c r="E256" s="1" t="s">
        <v>20</v>
      </c>
      <c r="F256" s="1" t="s">
        <v>372</v>
      </c>
      <c r="G256" s="1" t="s">
        <v>53</v>
      </c>
      <c r="H256" s="1" t="s">
        <v>54</v>
      </c>
      <c r="I256" s="1" t="s">
        <v>583</v>
      </c>
      <c r="J256" s="2">
        <v>21</v>
      </c>
      <c r="K256" s="12">
        <v>6500</v>
      </c>
      <c r="L256" s="2">
        <v>5371.9</v>
      </c>
      <c r="M256" s="2">
        <v>0</v>
      </c>
      <c r="N256" s="12">
        <v>1128.0999999999999</v>
      </c>
      <c r="O256" s="2">
        <v>0</v>
      </c>
      <c r="P256" s="2">
        <v>0</v>
      </c>
      <c r="Q256" s="2">
        <v>0</v>
      </c>
      <c r="R256" s="2">
        <v>0</v>
      </c>
      <c r="S256" s="8" t="str">
        <f t="shared" si="9"/>
        <v>33708336969003600012033</v>
      </c>
      <c r="T256" s="14" t="str">
        <f>IFERROR(VLOOKUP(S256,AFIP!$F$2:$R$999999,12,FALSE),"NO")</f>
        <v>NO</v>
      </c>
      <c r="U256" s="10" t="str">
        <f t="shared" si="10"/>
        <v>NO</v>
      </c>
      <c r="V256" s="10" t="str">
        <f>IFERROR(VLOOKUP(S256,AFIP!$F$2:$R$999999,13,FALSE),"NO")</f>
        <v>NO</v>
      </c>
      <c r="W256" s="1" t="str">
        <f t="shared" si="11"/>
        <v>NO</v>
      </c>
    </row>
    <row r="257" spans="1:23" hidden="1" x14ac:dyDescent="0.25">
      <c r="A257" s="1" t="s">
        <v>407</v>
      </c>
      <c r="B257" s="1" t="s">
        <v>408</v>
      </c>
      <c r="C257" s="1" t="s">
        <v>19</v>
      </c>
      <c r="D257" s="1">
        <v>30503037226</v>
      </c>
      <c r="E257" s="1" t="s">
        <v>20</v>
      </c>
      <c r="F257" s="1" t="s">
        <v>372</v>
      </c>
      <c r="G257" s="1" t="s">
        <v>53</v>
      </c>
      <c r="H257" s="1" t="s">
        <v>54</v>
      </c>
      <c r="I257" s="1" t="s">
        <v>584</v>
      </c>
      <c r="J257" s="2">
        <v>21</v>
      </c>
      <c r="K257" s="12">
        <v>2626245.42</v>
      </c>
      <c r="L257" s="2">
        <v>2170450.7599999998</v>
      </c>
      <c r="M257" s="2">
        <v>0</v>
      </c>
      <c r="N257" s="12">
        <v>455794.66</v>
      </c>
      <c r="O257" s="2">
        <v>0</v>
      </c>
      <c r="P257" s="2">
        <v>0</v>
      </c>
      <c r="Q257" s="2">
        <v>0</v>
      </c>
      <c r="R257" s="2">
        <v>0</v>
      </c>
      <c r="S257" s="8" t="str">
        <f t="shared" si="9"/>
        <v>30503037226007900026848</v>
      </c>
      <c r="T257" s="14">
        <f>IFERROR(VLOOKUP(S257,AFIP!$F$2:$R$999999,12,FALSE),"NO")</f>
        <v>455794.66</v>
      </c>
      <c r="U257" s="10" t="str">
        <f t="shared" si="10"/>
        <v>SI</v>
      </c>
      <c r="V257" s="10">
        <f>IFERROR(VLOOKUP(S257,AFIP!$F$2:$R$999999,13,FALSE),"NO")</f>
        <v>2626245.42</v>
      </c>
      <c r="W257" s="1" t="str">
        <f t="shared" si="11"/>
        <v>SI</v>
      </c>
    </row>
    <row r="258" spans="1:23" x14ac:dyDescent="0.25">
      <c r="A258" s="1" t="s">
        <v>1055</v>
      </c>
      <c r="B258" s="1" t="s">
        <v>1056</v>
      </c>
      <c r="C258" s="1" t="s">
        <v>19</v>
      </c>
      <c r="D258" s="1">
        <v>30668473241</v>
      </c>
      <c r="E258" s="1" t="s">
        <v>20</v>
      </c>
      <c r="F258" s="1" t="s">
        <v>372</v>
      </c>
      <c r="G258" s="1" t="s">
        <v>53</v>
      </c>
      <c r="H258" s="1" t="s">
        <v>54</v>
      </c>
      <c r="I258" s="1" t="s">
        <v>1093</v>
      </c>
      <c r="J258" s="2">
        <v>21</v>
      </c>
      <c r="K258" s="12">
        <v>123518.37</v>
      </c>
      <c r="L258" s="2">
        <v>102081.3</v>
      </c>
      <c r="M258" s="2">
        <v>0</v>
      </c>
      <c r="N258" s="12">
        <v>21437.07</v>
      </c>
      <c r="O258" s="2">
        <v>0</v>
      </c>
      <c r="P258" s="2">
        <v>0</v>
      </c>
      <c r="Q258" s="2">
        <v>0</v>
      </c>
      <c r="R258" s="2">
        <v>0</v>
      </c>
      <c r="S258" s="8" t="str">
        <f t="shared" si="9"/>
        <v>30668473241014400019033</v>
      </c>
      <c r="T258" s="14" t="str">
        <f>IFERROR(VLOOKUP(S258,AFIP!$F$2:$R$999999,12,FALSE),"NO")</f>
        <v>NO</v>
      </c>
      <c r="U258" s="10" t="str">
        <f t="shared" si="10"/>
        <v>NO</v>
      </c>
      <c r="V258" s="10" t="str">
        <f>IFERROR(VLOOKUP(S258,AFIP!$F$2:$R$999999,13,FALSE),"NO")</f>
        <v>NO</v>
      </c>
      <c r="W258" s="1" t="str">
        <f t="shared" si="11"/>
        <v>NO</v>
      </c>
    </row>
    <row r="259" spans="1:23" x14ac:dyDescent="0.25">
      <c r="A259" s="1" t="s">
        <v>1055</v>
      </c>
      <c r="B259" s="1" t="s">
        <v>1056</v>
      </c>
      <c r="C259" s="1" t="s">
        <v>19</v>
      </c>
      <c r="D259" s="1">
        <v>30668473241</v>
      </c>
      <c r="E259" s="1" t="s">
        <v>20</v>
      </c>
      <c r="F259" s="1" t="s">
        <v>372</v>
      </c>
      <c r="G259" s="1" t="s">
        <v>53</v>
      </c>
      <c r="H259" s="1" t="s">
        <v>54</v>
      </c>
      <c r="I259" s="1" t="s">
        <v>1093</v>
      </c>
      <c r="J259" s="2">
        <v>0</v>
      </c>
      <c r="K259" s="12">
        <v>9492.57</v>
      </c>
      <c r="L259" s="2">
        <v>0</v>
      </c>
      <c r="M259" s="2">
        <v>9492.57</v>
      </c>
      <c r="N259" s="12">
        <v>0</v>
      </c>
      <c r="O259" s="2">
        <v>0</v>
      </c>
      <c r="P259" s="2">
        <v>0</v>
      </c>
      <c r="Q259" s="2">
        <v>0</v>
      </c>
      <c r="R259" s="2">
        <v>0</v>
      </c>
      <c r="S259" s="8" t="str">
        <f t="shared" ref="S259:S322" si="12">D259&amp;I259</f>
        <v>30668473241014400019033</v>
      </c>
      <c r="T259" s="14" t="str">
        <f>IFERROR(VLOOKUP(S259,AFIP!$F$2:$R$999999,12,FALSE),"NO")</f>
        <v>NO</v>
      </c>
      <c r="U259" s="10" t="str">
        <f t="shared" ref="U259:U322" si="13">IF(N259=T259,"SI","NO")</f>
        <v>NO</v>
      </c>
      <c r="V259" s="10" t="str">
        <f>IFERROR(VLOOKUP(S259,AFIP!$F$2:$R$999999,13,FALSE),"NO")</f>
        <v>NO</v>
      </c>
      <c r="W259" s="1" t="str">
        <f t="shared" ref="W259:W322" si="14">IF(K259=V259,"SI","NO")</f>
        <v>NO</v>
      </c>
    </row>
    <row r="260" spans="1:23" hidden="1" x14ac:dyDescent="0.25">
      <c r="A260" s="1" t="s">
        <v>117</v>
      </c>
      <c r="B260" s="1" t="s">
        <v>118</v>
      </c>
      <c r="C260" s="1" t="s">
        <v>19</v>
      </c>
      <c r="D260" s="1">
        <v>30639453738</v>
      </c>
      <c r="E260" s="1" t="s">
        <v>20</v>
      </c>
      <c r="F260" s="1" t="s">
        <v>372</v>
      </c>
      <c r="G260" s="1" t="s">
        <v>53</v>
      </c>
      <c r="H260" s="1" t="s">
        <v>54</v>
      </c>
      <c r="I260" s="1" t="s">
        <v>585</v>
      </c>
      <c r="J260" s="2">
        <v>21</v>
      </c>
      <c r="K260" s="12">
        <v>7506.61</v>
      </c>
      <c r="L260" s="2">
        <v>6053.72</v>
      </c>
      <c r="M260" s="2">
        <v>0</v>
      </c>
      <c r="N260" s="12">
        <v>1271.28</v>
      </c>
      <c r="O260" s="2">
        <v>181.61</v>
      </c>
      <c r="P260" s="2">
        <v>0</v>
      </c>
      <c r="Q260" s="2">
        <v>0</v>
      </c>
      <c r="R260" s="2">
        <v>0</v>
      </c>
      <c r="S260" s="8" t="str">
        <f t="shared" si="12"/>
        <v>30639453738395005354505</v>
      </c>
      <c r="T260" s="14">
        <f>IFERROR(VLOOKUP(S260,AFIP!$F$2:$R$999999,12,FALSE),"NO")</f>
        <v>1271.28</v>
      </c>
      <c r="U260" s="10" t="str">
        <f t="shared" si="13"/>
        <v>SI</v>
      </c>
      <c r="V260" s="10">
        <f>IFERROR(VLOOKUP(S260,AFIP!$F$2:$R$999999,13,FALSE),"NO")</f>
        <v>7506.61</v>
      </c>
      <c r="W260" s="1" t="str">
        <f t="shared" si="14"/>
        <v>SI</v>
      </c>
    </row>
    <row r="261" spans="1:23" hidden="1" x14ac:dyDescent="0.25">
      <c r="A261" s="1" t="s">
        <v>139</v>
      </c>
      <c r="B261" s="1" t="s">
        <v>140</v>
      </c>
      <c r="C261" s="1" t="s">
        <v>19</v>
      </c>
      <c r="D261" s="1">
        <v>20293457116</v>
      </c>
      <c r="E261" s="1" t="s">
        <v>63</v>
      </c>
      <c r="F261" s="1" t="s">
        <v>372</v>
      </c>
      <c r="G261" s="1" t="s">
        <v>53</v>
      </c>
      <c r="H261" s="1" t="s">
        <v>59</v>
      </c>
      <c r="I261" s="1" t="s">
        <v>586</v>
      </c>
      <c r="J261" s="2">
        <v>0</v>
      </c>
      <c r="K261" s="12">
        <v>354222.33</v>
      </c>
      <c r="L261" s="2">
        <v>0</v>
      </c>
      <c r="M261" s="2">
        <v>354222.33</v>
      </c>
      <c r="N261" s="12">
        <v>0</v>
      </c>
      <c r="O261" s="2">
        <v>0</v>
      </c>
      <c r="P261" s="2">
        <v>0</v>
      </c>
      <c r="Q261" s="2">
        <v>0</v>
      </c>
      <c r="R261" s="2">
        <v>0</v>
      </c>
      <c r="S261" s="8" t="str">
        <f t="shared" si="12"/>
        <v>20293457116000300000225</v>
      </c>
      <c r="T261" s="14">
        <f>IFERROR(VLOOKUP(S261,AFIP!$F$2:$R$999999,12,FALSE),"NO")</f>
        <v>0</v>
      </c>
      <c r="U261" s="10" t="str">
        <f t="shared" si="13"/>
        <v>SI</v>
      </c>
      <c r="V261" s="10">
        <f>IFERROR(VLOOKUP(S261,AFIP!$F$2:$R$999999,13,FALSE),"NO")</f>
        <v>354222.33</v>
      </c>
      <c r="W261" s="1" t="str">
        <f t="shared" si="14"/>
        <v>SI</v>
      </c>
    </row>
    <row r="262" spans="1:23" hidden="1" x14ac:dyDescent="0.25">
      <c r="A262" s="1" t="s">
        <v>276</v>
      </c>
      <c r="B262" s="1" t="s">
        <v>277</v>
      </c>
      <c r="C262" s="1" t="s">
        <v>19</v>
      </c>
      <c r="D262" s="1">
        <v>20313376045</v>
      </c>
      <c r="E262" s="1" t="s">
        <v>20</v>
      </c>
      <c r="F262" s="1" t="s">
        <v>376</v>
      </c>
      <c r="G262" s="1" t="s">
        <v>53</v>
      </c>
      <c r="H262" s="1" t="s">
        <v>54</v>
      </c>
      <c r="I262" s="1" t="s">
        <v>587</v>
      </c>
      <c r="J262" s="2">
        <v>21</v>
      </c>
      <c r="K262" s="12">
        <v>326700</v>
      </c>
      <c r="L262" s="2">
        <v>270000</v>
      </c>
      <c r="M262" s="2">
        <v>0</v>
      </c>
      <c r="N262" s="12">
        <v>56700</v>
      </c>
      <c r="O262" s="2">
        <v>0</v>
      </c>
      <c r="P262" s="2">
        <v>0</v>
      </c>
      <c r="Q262" s="2">
        <v>0</v>
      </c>
      <c r="R262" s="2">
        <v>0</v>
      </c>
      <c r="S262" s="8" t="str">
        <f t="shared" si="12"/>
        <v>20313376045000200000376</v>
      </c>
      <c r="T262" s="14">
        <f>IFERROR(VLOOKUP(S262,AFIP!$F$2:$R$999999,12,FALSE),"NO")</f>
        <v>56700</v>
      </c>
      <c r="U262" s="10" t="str">
        <f t="shared" si="13"/>
        <v>SI</v>
      </c>
      <c r="V262" s="10">
        <f>IFERROR(VLOOKUP(S262,AFIP!$F$2:$R$999999,13,FALSE),"NO")</f>
        <v>326700</v>
      </c>
      <c r="W262" s="1" t="str">
        <f t="shared" si="14"/>
        <v>SI</v>
      </c>
    </row>
    <row r="263" spans="1:23" hidden="1" x14ac:dyDescent="0.25">
      <c r="A263" s="1" t="s">
        <v>119</v>
      </c>
      <c r="B263" s="1" t="s">
        <v>120</v>
      </c>
      <c r="C263" s="1" t="s">
        <v>19</v>
      </c>
      <c r="D263" s="1">
        <v>27201667645</v>
      </c>
      <c r="E263" s="1" t="s">
        <v>20</v>
      </c>
      <c r="F263" s="1" t="s">
        <v>376</v>
      </c>
      <c r="G263" s="1" t="s">
        <v>53</v>
      </c>
      <c r="H263" s="1" t="s">
        <v>54</v>
      </c>
      <c r="I263" s="1" t="s">
        <v>588</v>
      </c>
      <c r="J263" s="2">
        <v>0</v>
      </c>
      <c r="K263" s="12">
        <v>1287334.8</v>
      </c>
      <c r="L263" s="2">
        <v>0</v>
      </c>
      <c r="M263" s="2">
        <v>1287334.8</v>
      </c>
      <c r="N263" s="12">
        <v>0</v>
      </c>
      <c r="O263" s="2">
        <v>0</v>
      </c>
      <c r="P263" s="2">
        <v>0</v>
      </c>
      <c r="Q263" s="2">
        <v>0</v>
      </c>
      <c r="R263" s="2">
        <v>0</v>
      </c>
      <c r="S263" s="8" t="str">
        <f t="shared" si="12"/>
        <v>27201667645000200002585</v>
      </c>
      <c r="T263" s="14">
        <f>IFERROR(VLOOKUP(S263,AFIP!$F$2:$R$999999,12,FALSE),"NO")</f>
        <v>0</v>
      </c>
      <c r="U263" s="10" t="str">
        <f t="shared" si="13"/>
        <v>SI</v>
      </c>
      <c r="V263" s="10">
        <f>IFERROR(VLOOKUP(S263,AFIP!$F$2:$R$999999,13,FALSE),"NO")</f>
        <v>1287334.8</v>
      </c>
      <c r="W263" s="1" t="str">
        <f t="shared" si="14"/>
        <v>SI</v>
      </c>
    </row>
    <row r="264" spans="1:23" hidden="1" x14ac:dyDescent="0.25">
      <c r="A264" s="1" t="s">
        <v>589</v>
      </c>
      <c r="B264" s="1" t="s">
        <v>590</v>
      </c>
      <c r="C264" s="1" t="s">
        <v>19</v>
      </c>
      <c r="D264" s="1">
        <v>27217310291</v>
      </c>
      <c r="E264" s="1" t="s">
        <v>20</v>
      </c>
      <c r="F264" s="1" t="s">
        <v>376</v>
      </c>
      <c r="G264" s="1" t="s">
        <v>53</v>
      </c>
      <c r="H264" s="1" t="s">
        <v>54</v>
      </c>
      <c r="I264" s="1" t="s">
        <v>591</v>
      </c>
      <c r="J264" s="2">
        <v>21</v>
      </c>
      <c r="K264" s="12">
        <v>51909</v>
      </c>
      <c r="L264" s="2">
        <v>42900</v>
      </c>
      <c r="M264" s="2">
        <v>0</v>
      </c>
      <c r="N264" s="12">
        <v>9009</v>
      </c>
      <c r="O264" s="2">
        <v>0</v>
      </c>
      <c r="P264" s="2">
        <v>0</v>
      </c>
      <c r="Q264" s="2">
        <v>0</v>
      </c>
      <c r="R264" s="2">
        <v>0</v>
      </c>
      <c r="S264" s="8" t="str">
        <f t="shared" si="12"/>
        <v>27217310291000200007212</v>
      </c>
      <c r="T264" s="14">
        <f>IFERROR(VLOOKUP(S264,AFIP!$F$2:$R$999999,12,FALSE),"NO")</f>
        <v>9009</v>
      </c>
      <c r="U264" s="10" t="str">
        <f t="shared" si="13"/>
        <v>SI</v>
      </c>
      <c r="V264" s="10">
        <f>IFERROR(VLOOKUP(S264,AFIP!$F$2:$R$999999,13,FALSE),"NO")</f>
        <v>51909</v>
      </c>
      <c r="W264" s="1" t="str">
        <f t="shared" si="14"/>
        <v>SI</v>
      </c>
    </row>
    <row r="265" spans="1:23" hidden="1" x14ac:dyDescent="0.25">
      <c r="A265" s="1" t="s">
        <v>592</v>
      </c>
      <c r="B265" s="1" t="s">
        <v>593</v>
      </c>
      <c r="C265" s="1" t="s">
        <v>19</v>
      </c>
      <c r="D265" s="1">
        <v>27301319172</v>
      </c>
      <c r="E265" s="1" t="s">
        <v>20</v>
      </c>
      <c r="F265" s="1" t="s">
        <v>376</v>
      </c>
      <c r="G265" s="1" t="s">
        <v>53</v>
      </c>
      <c r="H265" s="1" t="s">
        <v>54</v>
      </c>
      <c r="I265" s="1" t="s">
        <v>594</v>
      </c>
      <c r="J265" s="2">
        <v>21</v>
      </c>
      <c r="K265" s="12">
        <v>245693.36</v>
      </c>
      <c r="L265" s="2">
        <v>203052.36</v>
      </c>
      <c r="M265" s="2">
        <v>0</v>
      </c>
      <c r="N265" s="12">
        <v>42641</v>
      </c>
      <c r="O265" s="2">
        <v>0</v>
      </c>
      <c r="P265" s="2">
        <v>0</v>
      </c>
      <c r="Q265" s="2">
        <v>0</v>
      </c>
      <c r="R265" s="2">
        <v>0</v>
      </c>
      <c r="S265" s="8" t="str">
        <f t="shared" si="12"/>
        <v>27301319172000300001015</v>
      </c>
      <c r="T265" s="14">
        <f>IFERROR(VLOOKUP(S265,AFIP!$F$2:$R$999999,12,FALSE),"NO")</f>
        <v>42641</v>
      </c>
      <c r="U265" s="10" t="str">
        <f t="shared" si="13"/>
        <v>SI</v>
      </c>
      <c r="V265" s="10">
        <f>IFERROR(VLOOKUP(S265,AFIP!$F$2:$R$999999,13,FALSE),"NO")</f>
        <v>245693.36</v>
      </c>
      <c r="W265" s="1" t="str">
        <f t="shared" si="14"/>
        <v>SI</v>
      </c>
    </row>
    <row r="266" spans="1:23" x14ac:dyDescent="0.25">
      <c r="A266" s="1" t="s">
        <v>595</v>
      </c>
      <c r="B266" s="1" t="s">
        <v>596</v>
      </c>
      <c r="C266" s="1" t="s">
        <v>19</v>
      </c>
      <c r="D266" s="1">
        <v>27064112517</v>
      </c>
      <c r="E266" s="1" t="s">
        <v>20</v>
      </c>
      <c r="F266" s="1" t="s">
        <v>376</v>
      </c>
      <c r="G266" s="1" t="s">
        <v>53</v>
      </c>
      <c r="H266" s="1" t="s">
        <v>54</v>
      </c>
      <c r="I266" s="1" t="s">
        <v>597</v>
      </c>
      <c r="J266" s="2">
        <v>21</v>
      </c>
      <c r="K266" s="12">
        <v>12000</v>
      </c>
      <c r="L266" s="2">
        <v>9917.36</v>
      </c>
      <c r="M266" s="2">
        <v>0</v>
      </c>
      <c r="N266" s="12">
        <v>2082.64</v>
      </c>
      <c r="O266" s="2">
        <v>0</v>
      </c>
      <c r="P266" s="2">
        <v>0</v>
      </c>
      <c r="Q266" s="2">
        <v>0</v>
      </c>
      <c r="R266" s="2">
        <v>0</v>
      </c>
      <c r="S266" s="8" t="str">
        <f t="shared" si="12"/>
        <v>27064112517000400003165</v>
      </c>
      <c r="T266" s="14" t="str">
        <f>IFERROR(VLOOKUP(S266,AFIP!$F$2:$R$999999,12,FALSE),"NO")</f>
        <v>NO</v>
      </c>
      <c r="U266" s="10" t="str">
        <f t="shared" si="13"/>
        <v>NO</v>
      </c>
      <c r="V266" s="10" t="str">
        <f>IFERROR(VLOOKUP(S266,AFIP!$F$2:$R$999999,13,FALSE),"NO")</f>
        <v>NO</v>
      </c>
      <c r="W266" s="1" t="str">
        <f t="shared" si="14"/>
        <v>NO</v>
      </c>
    </row>
    <row r="267" spans="1:23" hidden="1" x14ac:dyDescent="0.25">
      <c r="A267" s="1" t="s">
        <v>1034</v>
      </c>
      <c r="B267" s="1" t="s">
        <v>250</v>
      </c>
      <c r="C267" s="1" t="s">
        <v>19</v>
      </c>
      <c r="D267" s="1">
        <v>20177699889</v>
      </c>
      <c r="E267" s="1" t="s">
        <v>20</v>
      </c>
      <c r="F267" s="1" t="s">
        <v>376</v>
      </c>
      <c r="G267" s="1" t="s">
        <v>53</v>
      </c>
      <c r="H267" s="1" t="s">
        <v>54</v>
      </c>
      <c r="I267" s="1" t="s">
        <v>1094</v>
      </c>
      <c r="J267" s="2">
        <v>21</v>
      </c>
      <c r="K267" s="12">
        <v>44000</v>
      </c>
      <c r="L267" s="2">
        <v>36363.64</v>
      </c>
      <c r="M267" s="2">
        <v>0</v>
      </c>
      <c r="N267" s="12">
        <v>7636.36</v>
      </c>
      <c r="O267" s="2">
        <v>0</v>
      </c>
      <c r="P267" s="2">
        <v>0</v>
      </c>
      <c r="Q267" s="2">
        <v>0</v>
      </c>
      <c r="R267" s="2">
        <v>0</v>
      </c>
      <c r="S267" s="8" t="str">
        <f t="shared" si="12"/>
        <v>20177699889000500000503</v>
      </c>
      <c r="T267" s="14">
        <f>IFERROR(VLOOKUP(S267,AFIP!$F$2:$R$999999,12,FALSE),"NO")</f>
        <v>7636.36</v>
      </c>
      <c r="U267" s="10" t="str">
        <f t="shared" si="13"/>
        <v>SI</v>
      </c>
      <c r="V267" s="10">
        <f>IFERROR(VLOOKUP(S267,AFIP!$F$2:$R$999999,13,FALSE),"NO")</f>
        <v>44000</v>
      </c>
      <c r="W267" s="1" t="str">
        <f t="shared" si="14"/>
        <v>SI</v>
      </c>
    </row>
    <row r="268" spans="1:23" hidden="1" x14ac:dyDescent="0.25">
      <c r="A268" s="1" t="s">
        <v>598</v>
      </c>
      <c r="B268" s="1" t="s">
        <v>599</v>
      </c>
      <c r="C268" s="1" t="s">
        <v>19</v>
      </c>
      <c r="D268" s="1">
        <v>20062582708</v>
      </c>
      <c r="E268" s="1" t="s">
        <v>20</v>
      </c>
      <c r="F268" s="1" t="s">
        <v>376</v>
      </c>
      <c r="G268" s="1" t="s">
        <v>53</v>
      </c>
      <c r="H268" s="1" t="s">
        <v>54</v>
      </c>
      <c r="I268" s="1" t="s">
        <v>600</v>
      </c>
      <c r="J268" s="2">
        <v>21</v>
      </c>
      <c r="K268" s="12">
        <v>10952.73</v>
      </c>
      <c r="L268" s="2">
        <v>9051.84</v>
      </c>
      <c r="M268" s="2">
        <v>0</v>
      </c>
      <c r="N268" s="12">
        <v>1900.89</v>
      </c>
      <c r="O268" s="2">
        <v>0</v>
      </c>
      <c r="P268" s="2">
        <v>0</v>
      </c>
      <c r="Q268" s="2">
        <v>0</v>
      </c>
      <c r="R268" s="2">
        <v>0</v>
      </c>
      <c r="S268" s="8" t="str">
        <f t="shared" si="12"/>
        <v>20062582708000500007473</v>
      </c>
      <c r="T268" s="14">
        <f>IFERROR(VLOOKUP(S268,AFIP!$F$2:$R$999999,12,FALSE),"NO")</f>
        <v>1900.89</v>
      </c>
      <c r="U268" s="10" t="str">
        <f t="shared" si="13"/>
        <v>SI</v>
      </c>
      <c r="V268" s="10">
        <f>IFERROR(VLOOKUP(S268,AFIP!$F$2:$R$999999,13,FALSE),"NO")</f>
        <v>10952.73</v>
      </c>
      <c r="W268" s="1" t="str">
        <f t="shared" si="14"/>
        <v>SI</v>
      </c>
    </row>
    <row r="269" spans="1:23" x14ac:dyDescent="0.25">
      <c r="A269" s="1" t="s">
        <v>97</v>
      </c>
      <c r="B269" s="1" t="s">
        <v>98</v>
      </c>
      <c r="C269" s="1" t="s">
        <v>19</v>
      </c>
      <c r="D269" s="1">
        <v>30545788167</v>
      </c>
      <c r="E269" s="1" t="s">
        <v>20</v>
      </c>
      <c r="F269" s="1" t="s">
        <v>376</v>
      </c>
      <c r="G269" s="1" t="s">
        <v>53</v>
      </c>
      <c r="H269" s="1" t="s">
        <v>54</v>
      </c>
      <c r="I269" s="1" t="s">
        <v>1095</v>
      </c>
      <c r="J269" s="2">
        <v>27</v>
      </c>
      <c r="K269" s="12">
        <v>355948.82</v>
      </c>
      <c r="L269" s="2">
        <v>273806.78999999998</v>
      </c>
      <c r="M269" s="2">
        <v>0</v>
      </c>
      <c r="N269" s="12">
        <v>73927.83</v>
      </c>
      <c r="O269" s="2">
        <v>8214.2000000000007</v>
      </c>
      <c r="P269" s="2">
        <v>0</v>
      </c>
      <c r="Q269" s="2">
        <v>0</v>
      </c>
      <c r="R269" s="2">
        <v>0</v>
      </c>
      <c r="S269" s="8" t="str">
        <f t="shared" si="12"/>
        <v>30545788167000505232537</v>
      </c>
      <c r="T269" s="14" t="str">
        <f>IFERROR(VLOOKUP(S269,AFIP!$F$2:$R$999999,12,FALSE),"NO")</f>
        <v>NO</v>
      </c>
      <c r="U269" s="10" t="str">
        <f t="shared" si="13"/>
        <v>NO</v>
      </c>
      <c r="V269" s="10" t="str">
        <f>IFERROR(VLOOKUP(S269,AFIP!$F$2:$R$999999,13,FALSE),"NO")</f>
        <v>NO</v>
      </c>
      <c r="W269" s="1" t="str">
        <f t="shared" si="14"/>
        <v>NO</v>
      </c>
    </row>
    <row r="270" spans="1:23" x14ac:dyDescent="0.25">
      <c r="A270" s="1" t="s">
        <v>97</v>
      </c>
      <c r="B270" s="1" t="s">
        <v>98</v>
      </c>
      <c r="C270" s="1" t="s">
        <v>19</v>
      </c>
      <c r="D270" s="1">
        <v>30545788167</v>
      </c>
      <c r="E270" s="1" t="s">
        <v>20</v>
      </c>
      <c r="F270" s="1" t="s">
        <v>376</v>
      </c>
      <c r="G270" s="1" t="s">
        <v>53</v>
      </c>
      <c r="H270" s="1" t="s">
        <v>54</v>
      </c>
      <c r="I270" s="1" t="s">
        <v>1095</v>
      </c>
      <c r="J270" s="2">
        <v>0</v>
      </c>
      <c r="K270" s="12">
        <v>18908.62</v>
      </c>
      <c r="L270" s="2">
        <v>0</v>
      </c>
      <c r="M270" s="2">
        <v>18908.62</v>
      </c>
      <c r="N270" s="12">
        <v>0</v>
      </c>
      <c r="O270" s="2">
        <v>0</v>
      </c>
      <c r="P270" s="2">
        <v>0</v>
      </c>
      <c r="Q270" s="2">
        <v>0</v>
      </c>
      <c r="R270" s="2">
        <v>0</v>
      </c>
      <c r="S270" s="8" t="str">
        <f t="shared" si="12"/>
        <v>30545788167000505232537</v>
      </c>
      <c r="T270" s="14" t="str">
        <f>IFERROR(VLOOKUP(S270,AFIP!$F$2:$R$999999,12,FALSE),"NO")</f>
        <v>NO</v>
      </c>
      <c r="U270" s="10" t="str">
        <f t="shared" si="13"/>
        <v>NO</v>
      </c>
      <c r="V270" s="10" t="str">
        <f>IFERROR(VLOOKUP(S270,AFIP!$F$2:$R$999999,13,FALSE),"NO")</f>
        <v>NO</v>
      </c>
      <c r="W270" s="1" t="str">
        <f t="shared" si="14"/>
        <v>NO</v>
      </c>
    </row>
    <row r="271" spans="1:23" x14ac:dyDescent="0.25">
      <c r="A271" s="1" t="s">
        <v>97</v>
      </c>
      <c r="B271" s="1" t="s">
        <v>98</v>
      </c>
      <c r="C271" s="1" t="s">
        <v>19</v>
      </c>
      <c r="D271" s="1">
        <v>30545788167</v>
      </c>
      <c r="E271" s="1" t="s">
        <v>20</v>
      </c>
      <c r="F271" s="1" t="s">
        <v>376</v>
      </c>
      <c r="G271" s="1" t="s">
        <v>53</v>
      </c>
      <c r="H271" s="1" t="s">
        <v>54</v>
      </c>
      <c r="I271" s="1" t="s">
        <v>1096</v>
      </c>
      <c r="J271" s="2">
        <v>27</v>
      </c>
      <c r="K271" s="12">
        <v>230772.97</v>
      </c>
      <c r="L271" s="2">
        <v>177517.67</v>
      </c>
      <c r="M271" s="2">
        <v>0</v>
      </c>
      <c r="N271" s="12">
        <v>47929.77</v>
      </c>
      <c r="O271" s="2">
        <v>5325.53</v>
      </c>
      <c r="P271" s="2">
        <v>0</v>
      </c>
      <c r="Q271" s="2">
        <v>0</v>
      </c>
      <c r="R271" s="2">
        <v>0</v>
      </c>
      <c r="S271" s="8" t="str">
        <f t="shared" si="12"/>
        <v>30545788167000505233052</v>
      </c>
      <c r="T271" s="14" t="str">
        <f>IFERROR(VLOOKUP(S271,AFIP!$F$2:$R$999999,12,FALSE),"NO")</f>
        <v>NO</v>
      </c>
      <c r="U271" s="10" t="str">
        <f t="shared" si="13"/>
        <v>NO</v>
      </c>
      <c r="V271" s="10" t="str">
        <f>IFERROR(VLOOKUP(S271,AFIP!$F$2:$R$999999,13,FALSE),"NO")</f>
        <v>NO</v>
      </c>
      <c r="W271" s="1" t="str">
        <f t="shared" si="14"/>
        <v>NO</v>
      </c>
    </row>
    <row r="272" spans="1:23" x14ac:dyDescent="0.25">
      <c r="A272" s="1" t="s">
        <v>97</v>
      </c>
      <c r="B272" s="1" t="s">
        <v>98</v>
      </c>
      <c r="C272" s="1" t="s">
        <v>19</v>
      </c>
      <c r="D272" s="1">
        <v>30545788167</v>
      </c>
      <c r="E272" s="1" t="s">
        <v>20</v>
      </c>
      <c r="F272" s="1" t="s">
        <v>376</v>
      </c>
      <c r="G272" s="1" t="s">
        <v>53</v>
      </c>
      <c r="H272" s="1" t="s">
        <v>54</v>
      </c>
      <c r="I272" s="1" t="s">
        <v>1096</v>
      </c>
      <c r="J272" s="2">
        <v>0</v>
      </c>
      <c r="K272" s="12">
        <v>12057.61</v>
      </c>
      <c r="L272" s="2">
        <v>0</v>
      </c>
      <c r="M272" s="2">
        <v>12057.61</v>
      </c>
      <c r="N272" s="12">
        <v>0</v>
      </c>
      <c r="O272" s="2">
        <v>0</v>
      </c>
      <c r="P272" s="2">
        <v>0</v>
      </c>
      <c r="Q272" s="2">
        <v>0</v>
      </c>
      <c r="R272" s="2">
        <v>0</v>
      </c>
      <c r="S272" s="8" t="str">
        <f t="shared" si="12"/>
        <v>30545788167000505233052</v>
      </c>
      <c r="T272" s="14" t="str">
        <f>IFERROR(VLOOKUP(S272,AFIP!$F$2:$R$999999,12,FALSE),"NO")</f>
        <v>NO</v>
      </c>
      <c r="U272" s="10" t="str">
        <f t="shared" si="13"/>
        <v>NO</v>
      </c>
      <c r="V272" s="10" t="str">
        <f>IFERROR(VLOOKUP(S272,AFIP!$F$2:$R$999999,13,FALSE),"NO")</f>
        <v>NO</v>
      </c>
      <c r="W272" s="1" t="str">
        <f t="shared" si="14"/>
        <v>NO</v>
      </c>
    </row>
    <row r="273" spans="1:23" hidden="1" x14ac:dyDescent="0.25">
      <c r="A273" s="1" t="s">
        <v>601</v>
      </c>
      <c r="B273" s="1" t="s">
        <v>602</v>
      </c>
      <c r="C273" s="1" t="s">
        <v>19</v>
      </c>
      <c r="D273" s="1">
        <v>30708273445</v>
      </c>
      <c r="E273" s="1" t="s">
        <v>20</v>
      </c>
      <c r="F273" s="1" t="s">
        <v>376</v>
      </c>
      <c r="G273" s="1" t="s">
        <v>53</v>
      </c>
      <c r="H273" s="1" t="s">
        <v>54</v>
      </c>
      <c r="I273" s="1" t="s">
        <v>603</v>
      </c>
      <c r="J273" s="2">
        <v>21</v>
      </c>
      <c r="K273" s="12">
        <v>28799.98</v>
      </c>
      <c r="L273" s="2">
        <v>23801.64</v>
      </c>
      <c r="M273" s="2">
        <v>0</v>
      </c>
      <c r="N273" s="12">
        <v>4998.34</v>
      </c>
      <c r="O273" s="2">
        <v>0</v>
      </c>
      <c r="P273" s="2">
        <v>0</v>
      </c>
      <c r="Q273" s="2">
        <v>0</v>
      </c>
      <c r="R273" s="2">
        <v>0</v>
      </c>
      <c r="S273" s="8" t="str">
        <f t="shared" si="12"/>
        <v>30708273445000900002430</v>
      </c>
      <c r="T273" s="14">
        <f>IFERROR(VLOOKUP(S273,AFIP!$F$2:$R$999999,12,FALSE),"NO")</f>
        <v>4998.34</v>
      </c>
      <c r="U273" s="10" t="str">
        <f t="shared" si="13"/>
        <v>SI</v>
      </c>
      <c r="V273" s="10">
        <f>IFERROR(VLOOKUP(S273,AFIP!$F$2:$R$999999,13,FALSE),"NO")</f>
        <v>28799.98</v>
      </c>
      <c r="W273" s="1" t="str">
        <f t="shared" si="14"/>
        <v>SI</v>
      </c>
    </row>
    <row r="274" spans="1:23" hidden="1" x14ac:dyDescent="0.25">
      <c r="A274" s="1" t="s">
        <v>604</v>
      </c>
      <c r="B274" s="1" t="s">
        <v>605</v>
      </c>
      <c r="C274" s="1" t="s">
        <v>19</v>
      </c>
      <c r="D274" s="1">
        <v>30708739126</v>
      </c>
      <c r="E274" s="1" t="s">
        <v>20</v>
      </c>
      <c r="F274" s="1" t="s">
        <v>376</v>
      </c>
      <c r="G274" s="1" t="s">
        <v>53</v>
      </c>
      <c r="H274" s="1" t="s">
        <v>54</v>
      </c>
      <c r="I274" s="1" t="s">
        <v>606</v>
      </c>
      <c r="J274" s="2">
        <v>21</v>
      </c>
      <c r="K274" s="12">
        <v>40000</v>
      </c>
      <c r="L274" s="2">
        <v>33057.85</v>
      </c>
      <c r="M274" s="2">
        <v>0</v>
      </c>
      <c r="N274" s="12">
        <v>6942.15</v>
      </c>
      <c r="O274" s="2">
        <v>0</v>
      </c>
      <c r="P274" s="2">
        <v>0</v>
      </c>
      <c r="Q274" s="2">
        <v>0</v>
      </c>
      <c r="R274" s="2">
        <v>0</v>
      </c>
      <c r="S274" s="8" t="str">
        <f t="shared" si="12"/>
        <v>30708739126001100074334</v>
      </c>
      <c r="T274" s="14">
        <f>IFERROR(VLOOKUP(S274,AFIP!$F$2:$R$999999,12,FALSE),"NO")</f>
        <v>6942.15</v>
      </c>
      <c r="U274" s="10" t="str">
        <f t="shared" si="13"/>
        <v>SI</v>
      </c>
      <c r="V274" s="10">
        <f>IFERROR(VLOOKUP(S274,AFIP!$F$2:$R$999999,13,FALSE),"NO")</f>
        <v>40000</v>
      </c>
      <c r="W274" s="1" t="str">
        <f t="shared" si="14"/>
        <v>SI</v>
      </c>
    </row>
    <row r="275" spans="1:23" hidden="1" x14ac:dyDescent="0.25">
      <c r="A275" s="1" t="s">
        <v>29</v>
      </c>
      <c r="B275" s="1" t="s">
        <v>30</v>
      </c>
      <c r="C275" s="1" t="s">
        <v>19</v>
      </c>
      <c r="D275" s="1">
        <v>30621181838</v>
      </c>
      <c r="E275" s="1" t="s">
        <v>20</v>
      </c>
      <c r="F275" s="1" t="s">
        <v>376</v>
      </c>
      <c r="G275" s="1" t="s">
        <v>53</v>
      </c>
      <c r="H275" s="1" t="s">
        <v>54</v>
      </c>
      <c r="I275" s="1" t="s">
        <v>607</v>
      </c>
      <c r="J275" s="2">
        <v>21</v>
      </c>
      <c r="K275" s="12">
        <v>59518888.219999999</v>
      </c>
      <c r="L275" s="2">
        <v>48686207.130000003</v>
      </c>
      <c r="M275" s="2">
        <v>0</v>
      </c>
      <c r="N275" s="12">
        <v>10224103.5</v>
      </c>
      <c r="O275" s="2">
        <v>0</v>
      </c>
      <c r="P275" s="2">
        <v>608577.59</v>
      </c>
      <c r="Q275" s="2">
        <v>0</v>
      </c>
      <c r="R275" s="2">
        <v>0</v>
      </c>
      <c r="S275" s="8" t="str">
        <f t="shared" si="12"/>
        <v>30621181838003200254431</v>
      </c>
      <c r="T275" s="14">
        <f>IFERROR(VLOOKUP(S275,AFIP!$F$2:$R$999999,12,FALSE),"NO")</f>
        <v>10224103.5</v>
      </c>
      <c r="U275" s="10" t="str">
        <f t="shared" si="13"/>
        <v>SI</v>
      </c>
      <c r="V275" s="10">
        <f>IFERROR(VLOOKUP(S275,AFIP!$F$2:$R$999999,13,FALSE),"NO")</f>
        <v>59518888.219999999</v>
      </c>
      <c r="W275" s="1" t="str">
        <f t="shared" si="14"/>
        <v>SI</v>
      </c>
    </row>
    <row r="276" spans="1:23" hidden="1" x14ac:dyDescent="0.25">
      <c r="A276" s="1" t="s">
        <v>31</v>
      </c>
      <c r="B276" s="1" t="s">
        <v>32</v>
      </c>
      <c r="C276" s="1" t="s">
        <v>19</v>
      </c>
      <c r="D276" s="1">
        <v>30500529071</v>
      </c>
      <c r="E276" s="1" t="s">
        <v>20</v>
      </c>
      <c r="F276" s="1" t="s">
        <v>376</v>
      </c>
      <c r="G276" s="1" t="s">
        <v>53</v>
      </c>
      <c r="H276" s="1" t="s">
        <v>54</v>
      </c>
      <c r="I276" s="1" t="s">
        <v>608</v>
      </c>
      <c r="J276" s="2">
        <v>21</v>
      </c>
      <c r="K276" s="12">
        <v>516408.01</v>
      </c>
      <c r="L276" s="2">
        <v>408227.68</v>
      </c>
      <c r="M276" s="2">
        <v>0</v>
      </c>
      <c r="N276" s="12">
        <v>85727.81</v>
      </c>
      <c r="O276" s="2">
        <v>12246.83</v>
      </c>
      <c r="P276" s="2">
        <v>10205.69</v>
      </c>
      <c r="Q276" s="2">
        <v>0</v>
      </c>
      <c r="R276" s="2">
        <v>0</v>
      </c>
      <c r="S276" s="8" t="str">
        <f t="shared" si="12"/>
        <v>30500529071021500100483</v>
      </c>
      <c r="T276" s="14">
        <f>IFERROR(VLOOKUP(S276,AFIP!$F$2:$R$999999,12,FALSE),"NO")</f>
        <v>85727.81</v>
      </c>
      <c r="U276" s="10" t="str">
        <f t="shared" si="13"/>
        <v>SI</v>
      </c>
      <c r="V276" s="10">
        <f>IFERROR(VLOOKUP(S276,AFIP!$F$2:$R$999999,13,FALSE),"NO")</f>
        <v>516408.01</v>
      </c>
      <c r="W276" s="1" t="str">
        <f t="shared" si="14"/>
        <v>SI</v>
      </c>
    </row>
    <row r="277" spans="1:23" hidden="1" x14ac:dyDescent="0.25">
      <c r="A277" s="1" t="s">
        <v>17</v>
      </c>
      <c r="B277" s="1" t="s">
        <v>18</v>
      </c>
      <c r="C277" s="1" t="s">
        <v>19</v>
      </c>
      <c r="D277" s="1">
        <v>30500529454</v>
      </c>
      <c r="E277" s="1" t="s">
        <v>20</v>
      </c>
      <c r="F277" s="1" t="s">
        <v>376</v>
      </c>
      <c r="G277" s="1" t="s">
        <v>53</v>
      </c>
      <c r="H277" s="1" t="s">
        <v>54</v>
      </c>
      <c r="I277" s="1" t="s">
        <v>609</v>
      </c>
      <c r="J277" s="2">
        <v>21</v>
      </c>
      <c r="K277" s="12">
        <v>58335851.810000002</v>
      </c>
      <c r="L277" s="2">
        <v>46133025.310000002</v>
      </c>
      <c r="M277" s="2">
        <v>0</v>
      </c>
      <c r="N277" s="12">
        <v>9687935.3100000005</v>
      </c>
      <c r="O277" s="2">
        <v>1371758.84</v>
      </c>
      <c r="P277" s="2">
        <v>1143132.3500000001</v>
      </c>
      <c r="Q277" s="2">
        <v>0</v>
      </c>
      <c r="R277" s="2">
        <v>0</v>
      </c>
      <c r="S277" s="8" t="str">
        <f t="shared" si="12"/>
        <v>30500529454026700906884</v>
      </c>
      <c r="T277" s="14">
        <f>IFERROR(VLOOKUP(S277,AFIP!$F$2:$R$999999,12,FALSE),"NO")</f>
        <v>9765685.4900000002</v>
      </c>
      <c r="U277" s="10" t="str">
        <f t="shared" si="13"/>
        <v>NO</v>
      </c>
      <c r="V277" s="10">
        <f>IFERROR(VLOOKUP(S277,AFIP!$F$2:$R$999999,13,FALSE),"NO")</f>
        <v>58826629.289999999</v>
      </c>
      <c r="W277" s="1" t="str">
        <f t="shared" si="14"/>
        <v>NO</v>
      </c>
    </row>
    <row r="278" spans="1:23" hidden="1" x14ac:dyDescent="0.25">
      <c r="A278" s="1" t="s">
        <v>17</v>
      </c>
      <c r="B278" s="1" t="s">
        <v>18</v>
      </c>
      <c r="C278" s="1" t="s">
        <v>19</v>
      </c>
      <c r="D278" s="1">
        <v>30500529454</v>
      </c>
      <c r="E278" s="1" t="s">
        <v>20</v>
      </c>
      <c r="F278" s="1" t="s">
        <v>376</v>
      </c>
      <c r="G278" s="1" t="s">
        <v>53</v>
      </c>
      <c r="H278" s="1" t="s">
        <v>54</v>
      </c>
      <c r="I278" s="1" t="s">
        <v>609</v>
      </c>
      <c r="J278" s="2">
        <v>21</v>
      </c>
      <c r="K278" s="12">
        <v>490777.48</v>
      </c>
      <c r="L278" s="2">
        <v>370238.97</v>
      </c>
      <c r="M278" s="2">
        <v>0</v>
      </c>
      <c r="N278" s="12">
        <v>77750.179999999993</v>
      </c>
      <c r="O278" s="2">
        <v>23339.09</v>
      </c>
      <c r="P278" s="2">
        <v>19449.240000000002</v>
      </c>
      <c r="Q278" s="2">
        <v>0</v>
      </c>
      <c r="R278" s="2">
        <v>0</v>
      </c>
      <c r="S278" s="8" t="str">
        <f t="shared" si="12"/>
        <v>30500529454026700906884</v>
      </c>
      <c r="T278" s="14">
        <f>IFERROR(VLOOKUP(S278,AFIP!$F$2:$R$999999,12,FALSE),"NO")</f>
        <v>9765685.4900000002</v>
      </c>
      <c r="U278" s="10" t="str">
        <f t="shared" si="13"/>
        <v>NO</v>
      </c>
      <c r="V278" s="10">
        <f>IFERROR(VLOOKUP(S278,AFIP!$F$2:$R$999999,13,FALSE),"NO")</f>
        <v>58826629.289999999</v>
      </c>
      <c r="W278" s="1" t="str">
        <f t="shared" si="14"/>
        <v>NO</v>
      </c>
    </row>
    <row r="279" spans="1:23" hidden="1" x14ac:dyDescent="0.25">
      <c r="A279" s="1" t="s">
        <v>610</v>
      </c>
      <c r="B279" s="1" t="s">
        <v>611</v>
      </c>
      <c r="C279" s="1" t="s">
        <v>19</v>
      </c>
      <c r="D279" s="1">
        <v>20373299791</v>
      </c>
      <c r="E279" s="1" t="s">
        <v>63</v>
      </c>
      <c r="F279" s="1" t="s">
        <v>376</v>
      </c>
      <c r="G279" s="1" t="s">
        <v>53</v>
      </c>
      <c r="H279" s="1" t="s">
        <v>59</v>
      </c>
      <c r="I279" s="1" t="s">
        <v>612</v>
      </c>
      <c r="J279" s="2">
        <v>0</v>
      </c>
      <c r="K279" s="12">
        <v>156250</v>
      </c>
      <c r="L279" s="2">
        <v>0</v>
      </c>
      <c r="M279" s="2">
        <v>156250</v>
      </c>
      <c r="N279" s="12">
        <v>0</v>
      </c>
      <c r="O279" s="2">
        <v>0</v>
      </c>
      <c r="P279" s="2">
        <v>0</v>
      </c>
      <c r="Q279" s="2">
        <v>0</v>
      </c>
      <c r="R279" s="2">
        <v>0</v>
      </c>
      <c r="S279" s="8" t="str">
        <f t="shared" si="12"/>
        <v>20373299791000100000393</v>
      </c>
      <c r="T279" s="14">
        <f>IFERROR(VLOOKUP(S279,AFIP!$F$2:$R$999999,12,FALSE),"NO")</f>
        <v>0</v>
      </c>
      <c r="U279" s="10" t="str">
        <f t="shared" si="13"/>
        <v>SI</v>
      </c>
      <c r="V279" s="10">
        <f>IFERROR(VLOOKUP(S279,AFIP!$F$2:$R$999999,13,FALSE),"NO")</f>
        <v>156250</v>
      </c>
      <c r="W279" s="1" t="str">
        <f t="shared" si="14"/>
        <v>SI</v>
      </c>
    </row>
    <row r="280" spans="1:23" hidden="1" x14ac:dyDescent="0.25">
      <c r="A280" s="1" t="s">
        <v>613</v>
      </c>
      <c r="B280" s="1" t="s">
        <v>614</v>
      </c>
      <c r="C280" s="1" t="s">
        <v>19</v>
      </c>
      <c r="D280" s="1">
        <v>20264502919</v>
      </c>
      <c r="E280" s="1" t="s">
        <v>63</v>
      </c>
      <c r="F280" s="1" t="s">
        <v>376</v>
      </c>
      <c r="G280" s="1" t="s">
        <v>53</v>
      </c>
      <c r="H280" s="1" t="s">
        <v>59</v>
      </c>
      <c r="I280" s="1" t="s">
        <v>615</v>
      </c>
      <c r="J280" s="2">
        <v>0</v>
      </c>
      <c r="K280" s="12">
        <v>3500</v>
      </c>
      <c r="L280" s="2">
        <v>0</v>
      </c>
      <c r="M280" s="2">
        <v>3500</v>
      </c>
      <c r="N280" s="12">
        <v>0</v>
      </c>
      <c r="O280" s="2">
        <v>0</v>
      </c>
      <c r="P280" s="2">
        <v>0</v>
      </c>
      <c r="Q280" s="2">
        <v>0</v>
      </c>
      <c r="R280" s="2">
        <v>0</v>
      </c>
      <c r="S280" s="8" t="str">
        <f t="shared" si="12"/>
        <v>20264502919000200000532</v>
      </c>
      <c r="T280" s="14">
        <f>IFERROR(VLOOKUP(S280,AFIP!$F$2:$R$999999,12,FALSE),"NO")</f>
        <v>0</v>
      </c>
      <c r="U280" s="10" t="str">
        <f t="shared" si="13"/>
        <v>SI</v>
      </c>
      <c r="V280" s="10">
        <f>IFERROR(VLOOKUP(S280,AFIP!$F$2:$R$999999,13,FALSE),"NO")</f>
        <v>3500</v>
      </c>
      <c r="W280" s="1" t="str">
        <f t="shared" si="14"/>
        <v>SI</v>
      </c>
    </row>
    <row r="281" spans="1:23" hidden="1" x14ac:dyDescent="0.25">
      <c r="A281" s="1" t="s">
        <v>95</v>
      </c>
      <c r="B281" s="1" t="s">
        <v>96</v>
      </c>
      <c r="C281" s="1" t="s">
        <v>19</v>
      </c>
      <c r="D281" s="1">
        <v>20342251464</v>
      </c>
      <c r="E281" s="1" t="s">
        <v>63</v>
      </c>
      <c r="F281" s="1" t="s">
        <v>376</v>
      </c>
      <c r="G281" s="1" t="s">
        <v>53</v>
      </c>
      <c r="H281" s="1" t="s">
        <v>59</v>
      </c>
      <c r="I281" s="1" t="s">
        <v>616</v>
      </c>
      <c r="J281" s="2">
        <v>0</v>
      </c>
      <c r="K281" s="12">
        <v>69400</v>
      </c>
      <c r="L281" s="2">
        <v>0</v>
      </c>
      <c r="M281" s="2">
        <v>69400</v>
      </c>
      <c r="N281" s="12">
        <v>0</v>
      </c>
      <c r="O281" s="2">
        <v>0</v>
      </c>
      <c r="P281" s="2">
        <v>0</v>
      </c>
      <c r="Q281" s="2">
        <v>0</v>
      </c>
      <c r="R281" s="2">
        <v>0</v>
      </c>
      <c r="S281" s="8" t="str">
        <f t="shared" si="12"/>
        <v>20342251464000400001052</v>
      </c>
      <c r="T281" s="14">
        <f>IFERROR(VLOOKUP(S281,AFIP!$F$2:$R$999999,12,FALSE),"NO")</f>
        <v>0</v>
      </c>
      <c r="U281" s="10" t="str">
        <f t="shared" si="13"/>
        <v>SI</v>
      </c>
      <c r="V281" s="10">
        <f>IFERROR(VLOOKUP(S281,AFIP!$F$2:$R$999999,13,FALSE),"NO")</f>
        <v>69400</v>
      </c>
      <c r="W281" s="1" t="str">
        <f t="shared" si="14"/>
        <v>SI</v>
      </c>
    </row>
    <row r="282" spans="1:23" hidden="1" x14ac:dyDescent="0.25">
      <c r="A282" s="1" t="s">
        <v>37</v>
      </c>
      <c r="B282" s="1" t="s">
        <v>38</v>
      </c>
      <c r="C282" s="1" t="s">
        <v>19</v>
      </c>
      <c r="D282" s="1">
        <v>30642674567</v>
      </c>
      <c r="E282" s="1" t="s">
        <v>20</v>
      </c>
      <c r="F282" s="1" t="s">
        <v>381</v>
      </c>
      <c r="G282" s="1" t="s">
        <v>53</v>
      </c>
      <c r="H282" s="1" t="s">
        <v>54</v>
      </c>
      <c r="I282" s="1" t="s">
        <v>617</v>
      </c>
      <c r="J282" s="2">
        <v>21</v>
      </c>
      <c r="K282" s="12">
        <v>723346.01</v>
      </c>
      <c r="L282" s="2">
        <v>597806.62</v>
      </c>
      <c r="M282" s="2">
        <v>0</v>
      </c>
      <c r="N282" s="12">
        <v>125539.39</v>
      </c>
      <c r="O282" s="2">
        <v>0</v>
      </c>
      <c r="P282" s="2">
        <v>0</v>
      </c>
      <c r="Q282" s="2">
        <v>0</v>
      </c>
      <c r="R282" s="2">
        <v>0</v>
      </c>
      <c r="S282" s="8" t="str">
        <f t="shared" si="12"/>
        <v>30642674567000200010371</v>
      </c>
      <c r="T282" s="14">
        <f>IFERROR(VLOOKUP(S282,AFIP!$F$2:$R$999999,12,FALSE),"NO")</f>
        <v>125539.39</v>
      </c>
      <c r="U282" s="10" t="str">
        <f t="shared" si="13"/>
        <v>SI</v>
      </c>
      <c r="V282" s="10">
        <f>IFERROR(VLOOKUP(S282,AFIP!$F$2:$R$999999,13,FALSE),"NO")</f>
        <v>723346.01</v>
      </c>
      <c r="W282" s="1" t="str">
        <f t="shared" si="14"/>
        <v>SI</v>
      </c>
    </row>
    <row r="283" spans="1:23" hidden="1" x14ac:dyDescent="0.25">
      <c r="A283" s="1" t="s">
        <v>37</v>
      </c>
      <c r="B283" s="1" t="s">
        <v>38</v>
      </c>
      <c r="C283" s="1" t="s">
        <v>19</v>
      </c>
      <c r="D283" s="1">
        <v>30642674567</v>
      </c>
      <c r="E283" s="1" t="s">
        <v>20</v>
      </c>
      <c r="F283" s="1" t="s">
        <v>381</v>
      </c>
      <c r="G283" s="1" t="s">
        <v>53</v>
      </c>
      <c r="H283" s="1" t="s">
        <v>54</v>
      </c>
      <c r="I283" s="1" t="s">
        <v>618</v>
      </c>
      <c r="J283" s="2">
        <v>21</v>
      </c>
      <c r="K283" s="12">
        <v>109124.02</v>
      </c>
      <c r="L283" s="2">
        <v>90185.14</v>
      </c>
      <c r="M283" s="2">
        <v>0</v>
      </c>
      <c r="N283" s="12">
        <v>18938.88</v>
      </c>
      <c r="O283" s="2">
        <v>0</v>
      </c>
      <c r="P283" s="2">
        <v>0</v>
      </c>
      <c r="Q283" s="2">
        <v>0</v>
      </c>
      <c r="R283" s="2">
        <v>0</v>
      </c>
      <c r="S283" s="8" t="str">
        <f t="shared" si="12"/>
        <v>30642674567000200010372</v>
      </c>
      <c r="T283" s="14">
        <f>IFERROR(VLOOKUP(S283,AFIP!$F$2:$R$999999,12,FALSE),"NO")</f>
        <v>18938.88</v>
      </c>
      <c r="U283" s="10" t="str">
        <f t="shared" si="13"/>
        <v>SI</v>
      </c>
      <c r="V283" s="10">
        <f>IFERROR(VLOOKUP(S283,AFIP!$F$2:$R$999999,13,FALSE),"NO")</f>
        <v>109124.02</v>
      </c>
      <c r="W283" s="1" t="str">
        <f t="shared" si="14"/>
        <v>SI</v>
      </c>
    </row>
    <row r="284" spans="1:23" hidden="1" x14ac:dyDescent="0.25">
      <c r="A284" s="1" t="s">
        <v>37</v>
      </c>
      <c r="B284" s="1" t="s">
        <v>38</v>
      </c>
      <c r="C284" s="1" t="s">
        <v>19</v>
      </c>
      <c r="D284" s="1">
        <v>30642674567</v>
      </c>
      <c r="E284" s="1" t="s">
        <v>20</v>
      </c>
      <c r="F284" s="1" t="s">
        <v>381</v>
      </c>
      <c r="G284" s="1" t="s">
        <v>53</v>
      </c>
      <c r="H284" s="1" t="s">
        <v>54</v>
      </c>
      <c r="I284" s="1" t="s">
        <v>619</v>
      </c>
      <c r="J284" s="2">
        <v>21</v>
      </c>
      <c r="K284" s="12">
        <v>171586.55</v>
      </c>
      <c r="L284" s="2">
        <v>141807.07</v>
      </c>
      <c r="M284" s="2">
        <v>0</v>
      </c>
      <c r="N284" s="12">
        <v>29779.48</v>
      </c>
      <c r="O284" s="2">
        <v>0</v>
      </c>
      <c r="P284" s="2">
        <v>0</v>
      </c>
      <c r="Q284" s="2">
        <v>0</v>
      </c>
      <c r="R284" s="2">
        <v>0</v>
      </c>
      <c r="S284" s="8" t="str">
        <f t="shared" si="12"/>
        <v>30642674567000200010373</v>
      </c>
      <c r="T284" s="14">
        <f>IFERROR(VLOOKUP(S284,AFIP!$F$2:$R$999999,12,FALSE),"NO")</f>
        <v>29779.48</v>
      </c>
      <c r="U284" s="10" t="str">
        <f t="shared" si="13"/>
        <v>SI</v>
      </c>
      <c r="V284" s="10">
        <f>IFERROR(VLOOKUP(S284,AFIP!$F$2:$R$999999,13,FALSE),"NO")</f>
        <v>171586.55</v>
      </c>
      <c r="W284" s="1" t="str">
        <f t="shared" si="14"/>
        <v>SI</v>
      </c>
    </row>
    <row r="285" spans="1:23" hidden="1" x14ac:dyDescent="0.25">
      <c r="A285" s="1" t="s">
        <v>37</v>
      </c>
      <c r="B285" s="1" t="s">
        <v>38</v>
      </c>
      <c r="C285" s="1" t="s">
        <v>19</v>
      </c>
      <c r="D285" s="1">
        <v>30642674567</v>
      </c>
      <c r="E285" s="1" t="s">
        <v>20</v>
      </c>
      <c r="F285" s="1" t="s">
        <v>381</v>
      </c>
      <c r="G285" s="1" t="s">
        <v>53</v>
      </c>
      <c r="H285" s="1" t="s">
        <v>54</v>
      </c>
      <c r="I285" s="1" t="s">
        <v>620</v>
      </c>
      <c r="J285" s="2">
        <v>21</v>
      </c>
      <c r="K285" s="12">
        <v>89610.79</v>
      </c>
      <c r="L285" s="2">
        <v>74058.5</v>
      </c>
      <c r="M285" s="2">
        <v>0</v>
      </c>
      <c r="N285" s="12">
        <v>15552.29</v>
      </c>
      <c r="O285" s="2">
        <v>0</v>
      </c>
      <c r="P285" s="2">
        <v>0</v>
      </c>
      <c r="Q285" s="2">
        <v>0</v>
      </c>
      <c r="R285" s="2">
        <v>0</v>
      </c>
      <c r="S285" s="8" t="str">
        <f t="shared" si="12"/>
        <v>30642674567000200010374</v>
      </c>
      <c r="T285" s="14">
        <f>IFERROR(VLOOKUP(S285,AFIP!$F$2:$R$999999,12,FALSE),"NO")</f>
        <v>15552.29</v>
      </c>
      <c r="U285" s="10" t="str">
        <f t="shared" si="13"/>
        <v>SI</v>
      </c>
      <c r="V285" s="10">
        <f>IFERROR(VLOOKUP(S285,AFIP!$F$2:$R$999999,13,FALSE),"NO")</f>
        <v>89610.79</v>
      </c>
      <c r="W285" s="1" t="str">
        <f t="shared" si="14"/>
        <v>SI</v>
      </c>
    </row>
    <row r="286" spans="1:23" hidden="1" x14ac:dyDescent="0.25">
      <c r="A286" s="1" t="s">
        <v>37</v>
      </c>
      <c r="B286" s="1" t="s">
        <v>38</v>
      </c>
      <c r="C286" s="1" t="s">
        <v>19</v>
      </c>
      <c r="D286" s="1">
        <v>30642674567</v>
      </c>
      <c r="E286" s="1" t="s">
        <v>20</v>
      </c>
      <c r="F286" s="1" t="s">
        <v>381</v>
      </c>
      <c r="G286" s="1" t="s">
        <v>53</v>
      </c>
      <c r="H286" s="1" t="s">
        <v>54</v>
      </c>
      <c r="I286" s="1" t="s">
        <v>621</v>
      </c>
      <c r="J286" s="2">
        <v>21</v>
      </c>
      <c r="K286" s="12">
        <v>38900.07</v>
      </c>
      <c r="L286" s="2">
        <v>32148.82</v>
      </c>
      <c r="M286" s="2">
        <v>0</v>
      </c>
      <c r="N286" s="12">
        <v>6751.25</v>
      </c>
      <c r="O286" s="2">
        <v>0</v>
      </c>
      <c r="P286" s="2">
        <v>0</v>
      </c>
      <c r="Q286" s="2">
        <v>0</v>
      </c>
      <c r="R286" s="2">
        <v>0</v>
      </c>
      <c r="S286" s="8" t="str">
        <f t="shared" si="12"/>
        <v>30642674567000200010375</v>
      </c>
      <c r="T286" s="14">
        <f>IFERROR(VLOOKUP(S286,AFIP!$F$2:$R$999999,12,FALSE),"NO")</f>
        <v>6751.25</v>
      </c>
      <c r="U286" s="10" t="str">
        <f t="shared" si="13"/>
        <v>SI</v>
      </c>
      <c r="V286" s="10">
        <f>IFERROR(VLOOKUP(S286,AFIP!$F$2:$R$999999,13,FALSE),"NO")</f>
        <v>38900.07</v>
      </c>
      <c r="W286" s="1" t="str">
        <f t="shared" si="14"/>
        <v>SI</v>
      </c>
    </row>
    <row r="287" spans="1:23" hidden="1" x14ac:dyDescent="0.25">
      <c r="A287" s="1" t="s">
        <v>232</v>
      </c>
      <c r="B287" s="1" t="s">
        <v>233</v>
      </c>
      <c r="C287" s="1" t="s">
        <v>19</v>
      </c>
      <c r="D287" s="1">
        <v>30714379468</v>
      </c>
      <c r="E287" s="1" t="s">
        <v>20</v>
      </c>
      <c r="F287" s="1" t="s">
        <v>381</v>
      </c>
      <c r="G287" s="1" t="s">
        <v>53</v>
      </c>
      <c r="H287" s="1" t="s">
        <v>54</v>
      </c>
      <c r="I287" s="1" t="s">
        <v>622</v>
      </c>
      <c r="J287" s="2">
        <v>21</v>
      </c>
      <c r="K287" s="12">
        <v>1850737.47</v>
      </c>
      <c r="L287" s="2">
        <v>1529535.14</v>
      </c>
      <c r="M287" s="2">
        <v>0</v>
      </c>
      <c r="N287" s="12">
        <v>321202.33</v>
      </c>
      <c r="O287" s="2">
        <v>0</v>
      </c>
      <c r="P287" s="2">
        <v>0</v>
      </c>
      <c r="Q287" s="2">
        <v>0</v>
      </c>
      <c r="R287" s="2">
        <v>0</v>
      </c>
      <c r="S287" s="8" t="str">
        <f t="shared" si="12"/>
        <v>30714379468000200018788</v>
      </c>
      <c r="T287" s="14">
        <f>IFERROR(VLOOKUP(S287,AFIP!$F$2:$R$999999,12,FALSE),"NO")</f>
        <v>321202.37</v>
      </c>
      <c r="U287" s="10" t="str">
        <f t="shared" si="13"/>
        <v>NO</v>
      </c>
      <c r="V287" s="10">
        <f>IFERROR(VLOOKUP(S287,AFIP!$F$2:$R$999999,13,FALSE),"NO")</f>
        <v>1850737.47</v>
      </c>
      <c r="W287" s="1" t="str">
        <f t="shared" si="14"/>
        <v>SI</v>
      </c>
    </row>
    <row r="288" spans="1:23" hidden="1" x14ac:dyDescent="0.25">
      <c r="A288" s="1" t="s">
        <v>131</v>
      </c>
      <c r="B288" s="1" t="s">
        <v>132</v>
      </c>
      <c r="C288" s="1" t="s">
        <v>19</v>
      </c>
      <c r="D288" s="1">
        <v>30708506237</v>
      </c>
      <c r="E288" s="1" t="s">
        <v>20</v>
      </c>
      <c r="F288" s="1" t="s">
        <v>381</v>
      </c>
      <c r="G288" s="1" t="s">
        <v>53</v>
      </c>
      <c r="H288" s="1" t="s">
        <v>54</v>
      </c>
      <c r="I288" s="1" t="s">
        <v>623</v>
      </c>
      <c r="J288" s="2">
        <v>21</v>
      </c>
      <c r="K288" s="12">
        <v>55521.67</v>
      </c>
      <c r="L288" s="2">
        <v>45885.68</v>
      </c>
      <c r="M288" s="2">
        <v>0</v>
      </c>
      <c r="N288" s="12">
        <v>9635.99</v>
      </c>
      <c r="O288" s="2">
        <v>0</v>
      </c>
      <c r="P288" s="2">
        <v>0</v>
      </c>
      <c r="Q288" s="2">
        <v>0</v>
      </c>
      <c r="R288" s="2">
        <v>0</v>
      </c>
      <c r="S288" s="8" t="str">
        <f t="shared" si="12"/>
        <v>30708506237000200066203</v>
      </c>
      <c r="T288" s="14">
        <f>IFERROR(VLOOKUP(S288,AFIP!$F$2:$R$999999,12,FALSE),"NO")</f>
        <v>9635.99</v>
      </c>
      <c r="U288" s="10" t="str">
        <f t="shared" si="13"/>
        <v>SI</v>
      </c>
      <c r="V288" s="10">
        <f>IFERROR(VLOOKUP(S288,AFIP!$F$2:$R$999999,13,FALSE),"NO")</f>
        <v>55521.67</v>
      </c>
      <c r="W288" s="1" t="str">
        <f t="shared" si="14"/>
        <v>SI</v>
      </c>
    </row>
    <row r="289" spans="1:23" hidden="1" x14ac:dyDescent="0.25">
      <c r="A289" s="1" t="s">
        <v>570</v>
      </c>
      <c r="B289" s="1" t="s">
        <v>571</v>
      </c>
      <c r="C289" s="1" t="s">
        <v>19</v>
      </c>
      <c r="D289" s="1">
        <v>30717903524</v>
      </c>
      <c r="E289" s="1" t="s">
        <v>20</v>
      </c>
      <c r="F289" s="1" t="s">
        <v>381</v>
      </c>
      <c r="G289" s="1" t="s">
        <v>53</v>
      </c>
      <c r="H289" s="1" t="s">
        <v>54</v>
      </c>
      <c r="I289" s="1" t="s">
        <v>624</v>
      </c>
      <c r="J289" s="2">
        <v>21</v>
      </c>
      <c r="K289" s="12">
        <v>13800</v>
      </c>
      <c r="L289" s="2">
        <v>11404.96</v>
      </c>
      <c r="M289" s="2">
        <v>0</v>
      </c>
      <c r="N289" s="12">
        <v>2395.04</v>
      </c>
      <c r="O289" s="2">
        <v>0</v>
      </c>
      <c r="P289" s="2">
        <v>0</v>
      </c>
      <c r="Q289" s="2">
        <v>0</v>
      </c>
      <c r="R289" s="2">
        <v>0</v>
      </c>
      <c r="S289" s="8" t="str">
        <f t="shared" si="12"/>
        <v>30717903524000300000126</v>
      </c>
      <c r="T289" s="14">
        <f>IFERROR(VLOOKUP(S289,AFIP!$F$2:$R$999999,12,FALSE),"NO")</f>
        <v>2395.04</v>
      </c>
      <c r="U289" s="10" t="str">
        <f t="shared" si="13"/>
        <v>SI</v>
      </c>
      <c r="V289" s="10">
        <f>IFERROR(VLOOKUP(S289,AFIP!$F$2:$R$999999,13,FALSE),"NO")</f>
        <v>13800</v>
      </c>
      <c r="W289" s="1" t="str">
        <f t="shared" si="14"/>
        <v>SI</v>
      </c>
    </row>
    <row r="290" spans="1:23" hidden="1" x14ac:dyDescent="0.25">
      <c r="A290" s="1" t="s">
        <v>89</v>
      </c>
      <c r="B290" s="1" t="s">
        <v>90</v>
      </c>
      <c r="C290" s="1" t="s">
        <v>19</v>
      </c>
      <c r="D290" s="1">
        <v>27058643063</v>
      </c>
      <c r="E290" s="1" t="s">
        <v>20</v>
      </c>
      <c r="F290" s="1" t="s">
        <v>381</v>
      </c>
      <c r="G290" s="1" t="s">
        <v>53</v>
      </c>
      <c r="H290" s="1" t="s">
        <v>54</v>
      </c>
      <c r="I290" s="1" t="s">
        <v>625</v>
      </c>
      <c r="J290" s="2">
        <v>21</v>
      </c>
      <c r="K290" s="12">
        <v>96800</v>
      </c>
      <c r="L290" s="2">
        <v>80000</v>
      </c>
      <c r="M290" s="2">
        <v>0</v>
      </c>
      <c r="N290" s="12">
        <v>16800</v>
      </c>
      <c r="O290" s="2">
        <v>0</v>
      </c>
      <c r="P290" s="2">
        <v>0</v>
      </c>
      <c r="Q290" s="2">
        <v>0</v>
      </c>
      <c r="R290" s="2">
        <v>0</v>
      </c>
      <c r="S290" s="8" t="str">
        <f t="shared" si="12"/>
        <v>27058643063000300000272</v>
      </c>
      <c r="T290" s="14">
        <f>IFERROR(VLOOKUP(S290,AFIP!$F$2:$R$999999,12,FALSE),"NO")</f>
        <v>16800</v>
      </c>
      <c r="U290" s="10" t="str">
        <f t="shared" si="13"/>
        <v>SI</v>
      </c>
      <c r="V290" s="10">
        <f>IFERROR(VLOOKUP(S290,AFIP!$F$2:$R$999999,13,FALSE),"NO")</f>
        <v>96800</v>
      </c>
      <c r="W290" s="1" t="str">
        <f t="shared" si="14"/>
        <v>SI</v>
      </c>
    </row>
    <row r="291" spans="1:23" hidden="1" x14ac:dyDescent="0.25">
      <c r="A291" s="1" t="s">
        <v>281</v>
      </c>
      <c r="B291" s="1" t="s">
        <v>282</v>
      </c>
      <c r="C291" s="1" t="s">
        <v>19</v>
      </c>
      <c r="D291" s="1">
        <v>30718373332</v>
      </c>
      <c r="E291" s="1" t="s">
        <v>20</v>
      </c>
      <c r="F291" s="1" t="s">
        <v>381</v>
      </c>
      <c r="G291" s="1" t="s">
        <v>53</v>
      </c>
      <c r="H291" s="1" t="s">
        <v>54</v>
      </c>
      <c r="I291" s="1" t="s">
        <v>626</v>
      </c>
      <c r="J291" s="2">
        <v>21</v>
      </c>
      <c r="K291" s="12">
        <v>109920.01</v>
      </c>
      <c r="L291" s="2">
        <v>90842.98</v>
      </c>
      <c r="M291" s="2">
        <v>0</v>
      </c>
      <c r="N291" s="12">
        <v>19077.03</v>
      </c>
      <c r="O291" s="2">
        <v>0</v>
      </c>
      <c r="P291" s="2">
        <v>0</v>
      </c>
      <c r="Q291" s="2">
        <v>0</v>
      </c>
      <c r="R291" s="2">
        <v>0</v>
      </c>
      <c r="S291" s="8" t="str">
        <f t="shared" si="12"/>
        <v>30718373332000300001053</v>
      </c>
      <c r="T291" s="14">
        <f>IFERROR(VLOOKUP(S291,AFIP!$F$2:$R$999999,12,FALSE),"NO")</f>
        <v>19077.03</v>
      </c>
      <c r="U291" s="10" t="str">
        <f t="shared" si="13"/>
        <v>SI</v>
      </c>
      <c r="V291" s="10">
        <f>IFERROR(VLOOKUP(S291,AFIP!$F$2:$R$999999,13,FALSE),"NO")</f>
        <v>109920.01</v>
      </c>
      <c r="W291" s="1" t="str">
        <f t="shared" si="14"/>
        <v>SI</v>
      </c>
    </row>
    <row r="292" spans="1:23" hidden="1" x14ac:dyDescent="0.25">
      <c r="A292" s="1" t="s">
        <v>627</v>
      </c>
      <c r="B292" s="1" t="s">
        <v>628</v>
      </c>
      <c r="C292" s="1" t="s">
        <v>19</v>
      </c>
      <c r="D292" s="1">
        <v>20249710084</v>
      </c>
      <c r="E292" s="1" t="s">
        <v>20</v>
      </c>
      <c r="F292" s="1" t="s">
        <v>381</v>
      </c>
      <c r="G292" s="1" t="s">
        <v>53</v>
      </c>
      <c r="H292" s="1" t="s">
        <v>54</v>
      </c>
      <c r="I292" s="1" t="s">
        <v>629</v>
      </c>
      <c r="J292" s="2">
        <v>21</v>
      </c>
      <c r="K292" s="12">
        <v>339414.98</v>
      </c>
      <c r="L292" s="2">
        <v>280508.25</v>
      </c>
      <c r="M292" s="2">
        <v>0</v>
      </c>
      <c r="N292" s="12">
        <v>58906.73</v>
      </c>
      <c r="O292" s="2">
        <v>0</v>
      </c>
      <c r="P292" s="2">
        <v>0</v>
      </c>
      <c r="Q292" s="2">
        <v>0</v>
      </c>
      <c r="R292" s="2">
        <v>0</v>
      </c>
      <c r="S292" s="8" t="str">
        <f t="shared" si="12"/>
        <v>20249710084000300003869</v>
      </c>
      <c r="T292" s="14">
        <f>IFERROR(VLOOKUP(S292,AFIP!$F$2:$R$999999,12,FALSE),"NO")</f>
        <v>58906.73</v>
      </c>
      <c r="U292" s="10" t="str">
        <f t="shared" si="13"/>
        <v>SI</v>
      </c>
      <c r="V292" s="10">
        <f>IFERROR(VLOOKUP(S292,AFIP!$F$2:$R$999999,13,FALSE),"NO")</f>
        <v>339414.98</v>
      </c>
      <c r="W292" s="1" t="str">
        <f t="shared" si="14"/>
        <v>SI</v>
      </c>
    </row>
    <row r="293" spans="1:23" hidden="1" x14ac:dyDescent="0.25">
      <c r="A293" s="1" t="s">
        <v>1080</v>
      </c>
      <c r="B293" s="1" t="s">
        <v>886</v>
      </c>
      <c r="C293" s="1" t="s">
        <v>19</v>
      </c>
      <c r="D293" s="1">
        <v>24275905050</v>
      </c>
      <c r="E293" s="1" t="s">
        <v>20</v>
      </c>
      <c r="F293" s="1" t="s">
        <v>381</v>
      </c>
      <c r="G293" s="1" t="s">
        <v>53</v>
      </c>
      <c r="H293" s="1" t="s">
        <v>54</v>
      </c>
      <c r="I293" s="1" t="s">
        <v>1097</v>
      </c>
      <c r="J293" s="2">
        <v>21</v>
      </c>
      <c r="K293" s="12">
        <v>42000</v>
      </c>
      <c r="L293" s="2">
        <v>34710.74</v>
      </c>
      <c r="M293" s="2">
        <v>0</v>
      </c>
      <c r="N293" s="12">
        <v>7289.26</v>
      </c>
      <c r="O293" s="2">
        <v>0</v>
      </c>
      <c r="P293" s="2">
        <v>0</v>
      </c>
      <c r="Q293" s="2">
        <v>0</v>
      </c>
      <c r="R293" s="2">
        <v>0</v>
      </c>
      <c r="S293" s="8" t="str">
        <f t="shared" si="12"/>
        <v>24275905050000400002708</v>
      </c>
      <c r="T293" s="14">
        <f>IFERROR(VLOOKUP(S293,AFIP!$F$2:$R$999999,12,FALSE),"NO")</f>
        <v>7289.26</v>
      </c>
      <c r="U293" s="10" t="str">
        <f t="shared" si="13"/>
        <v>SI</v>
      </c>
      <c r="V293" s="10">
        <f>IFERROR(VLOOKUP(S293,AFIP!$F$2:$R$999999,13,FALSE),"NO")</f>
        <v>42000</v>
      </c>
      <c r="W293" s="1" t="str">
        <f t="shared" si="14"/>
        <v>SI</v>
      </c>
    </row>
    <row r="294" spans="1:23" hidden="1" x14ac:dyDescent="0.25">
      <c r="A294" s="1" t="s">
        <v>121</v>
      </c>
      <c r="B294" s="1" t="s">
        <v>122</v>
      </c>
      <c r="C294" s="1" t="s">
        <v>19</v>
      </c>
      <c r="D294" s="1">
        <v>33531994189</v>
      </c>
      <c r="E294" s="1" t="s">
        <v>20</v>
      </c>
      <c r="F294" s="1" t="s">
        <v>381</v>
      </c>
      <c r="G294" s="1" t="s">
        <v>53</v>
      </c>
      <c r="H294" s="1" t="s">
        <v>54</v>
      </c>
      <c r="I294" s="1" t="s">
        <v>630</v>
      </c>
      <c r="J294" s="2">
        <v>21</v>
      </c>
      <c r="K294" s="12">
        <v>1373267.55</v>
      </c>
      <c r="L294" s="2">
        <v>1134931.8600000001</v>
      </c>
      <c r="M294" s="2">
        <v>0</v>
      </c>
      <c r="N294" s="12">
        <v>238335.69</v>
      </c>
      <c r="O294" s="2">
        <v>0</v>
      </c>
      <c r="P294" s="2">
        <v>0</v>
      </c>
      <c r="Q294" s="2">
        <v>0</v>
      </c>
      <c r="R294" s="2">
        <v>0</v>
      </c>
      <c r="S294" s="8" t="str">
        <f t="shared" si="12"/>
        <v>33531994189000400041036</v>
      </c>
      <c r="T294" s="14">
        <f>IFERROR(VLOOKUP(S294,AFIP!$F$2:$R$999999,12,FALSE),"NO")</f>
        <v>238335.69</v>
      </c>
      <c r="U294" s="10" t="str">
        <f t="shared" si="13"/>
        <v>SI</v>
      </c>
      <c r="V294" s="10">
        <f>IFERROR(VLOOKUP(S294,AFIP!$F$2:$R$999999,13,FALSE),"NO")</f>
        <v>1405267.55</v>
      </c>
      <c r="W294" s="1" t="str">
        <f t="shared" si="14"/>
        <v>NO</v>
      </c>
    </row>
    <row r="295" spans="1:23" hidden="1" x14ac:dyDescent="0.25">
      <c r="A295" s="1" t="s">
        <v>121</v>
      </c>
      <c r="B295" s="1" t="s">
        <v>122</v>
      </c>
      <c r="C295" s="1" t="s">
        <v>19</v>
      </c>
      <c r="D295" s="1">
        <v>33531994189</v>
      </c>
      <c r="E295" s="1" t="s">
        <v>20</v>
      </c>
      <c r="F295" s="1" t="s">
        <v>381</v>
      </c>
      <c r="G295" s="1" t="s">
        <v>53</v>
      </c>
      <c r="H295" s="1" t="s">
        <v>54</v>
      </c>
      <c r="I295" s="1" t="s">
        <v>630</v>
      </c>
      <c r="J295" s="2">
        <v>0</v>
      </c>
      <c r="K295" s="12">
        <v>32000</v>
      </c>
      <c r="L295" s="2">
        <v>0</v>
      </c>
      <c r="M295" s="2">
        <v>32000</v>
      </c>
      <c r="N295" s="12">
        <v>0</v>
      </c>
      <c r="O295" s="2">
        <v>0</v>
      </c>
      <c r="P295" s="2">
        <v>0</v>
      </c>
      <c r="Q295" s="2">
        <v>0</v>
      </c>
      <c r="R295" s="2">
        <v>0</v>
      </c>
      <c r="S295" s="8" t="str">
        <f t="shared" si="12"/>
        <v>33531994189000400041036</v>
      </c>
      <c r="T295" s="14">
        <f>IFERROR(VLOOKUP(S295,AFIP!$F$2:$R$999999,12,FALSE),"NO")</f>
        <v>238335.69</v>
      </c>
      <c r="U295" s="10" t="str">
        <f t="shared" si="13"/>
        <v>NO</v>
      </c>
      <c r="V295" s="10">
        <f>IFERROR(VLOOKUP(S295,AFIP!$F$2:$R$999999,13,FALSE),"NO")</f>
        <v>1405267.55</v>
      </c>
      <c r="W295" s="1" t="str">
        <f t="shared" si="14"/>
        <v>NO</v>
      </c>
    </row>
    <row r="296" spans="1:23" x14ac:dyDescent="0.25">
      <c r="A296" s="1" t="s">
        <v>97</v>
      </c>
      <c r="B296" s="1" t="s">
        <v>98</v>
      </c>
      <c r="C296" s="1" t="s">
        <v>19</v>
      </c>
      <c r="D296" s="1">
        <v>30545788167</v>
      </c>
      <c r="E296" s="1" t="s">
        <v>20</v>
      </c>
      <c r="F296" s="1" t="s">
        <v>381</v>
      </c>
      <c r="G296" s="1" t="s">
        <v>53</v>
      </c>
      <c r="H296" s="1" t="s">
        <v>54</v>
      </c>
      <c r="I296" s="1" t="s">
        <v>1098</v>
      </c>
      <c r="J296" s="2">
        <v>27</v>
      </c>
      <c r="K296" s="12">
        <v>247116.09</v>
      </c>
      <c r="L296" s="2">
        <v>190089.3</v>
      </c>
      <c r="M296" s="2">
        <v>0</v>
      </c>
      <c r="N296" s="12">
        <v>51324.11</v>
      </c>
      <c r="O296" s="2">
        <v>5702.68</v>
      </c>
      <c r="P296" s="2">
        <v>0</v>
      </c>
      <c r="Q296" s="2">
        <v>0</v>
      </c>
      <c r="R296" s="2">
        <v>0</v>
      </c>
      <c r="S296" s="8" t="str">
        <f t="shared" si="12"/>
        <v>30545788167000505235841</v>
      </c>
      <c r="T296" s="14" t="str">
        <f>IFERROR(VLOOKUP(S296,AFIP!$F$2:$R$999999,12,FALSE),"NO")</f>
        <v>NO</v>
      </c>
      <c r="U296" s="10" t="str">
        <f t="shared" si="13"/>
        <v>NO</v>
      </c>
      <c r="V296" s="10" t="str">
        <f>IFERROR(VLOOKUP(S296,AFIP!$F$2:$R$999999,13,FALSE),"NO")</f>
        <v>NO</v>
      </c>
      <c r="W296" s="1" t="str">
        <f t="shared" si="14"/>
        <v>NO</v>
      </c>
    </row>
    <row r="297" spans="1:23" x14ac:dyDescent="0.25">
      <c r="A297" s="1" t="s">
        <v>97</v>
      </c>
      <c r="B297" s="1" t="s">
        <v>98</v>
      </c>
      <c r="C297" s="1" t="s">
        <v>19</v>
      </c>
      <c r="D297" s="1">
        <v>30545788167</v>
      </c>
      <c r="E297" s="1" t="s">
        <v>20</v>
      </c>
      <c r="F297" s="1" t="s">
        <v>381</v>
      </c>
      <c r="G297" s="1" t="s">
        <v>53</v>
      </c>
      <c r="H297" s="1" t="s">
        <v>54</v>
      </c>
      <c r="I297" s="1" t="s">
        <v>1098</v>
      </c>
      <c r="J297" s="2">
        <v>0</v>
      </c>
      <c r="K297" s="12">
        <v>14563.04</v>
      </c>
      <c r="L297" s="2">
        <v>0</v>
      </c>
      <c r="M297" s="2">
        <v>14563.04</v>
      </c>
      <c r="N297" s="12">
        <v>0</v>
      </c>
      <c r="O297" s="2">
        <v>0</v>
      </c>
      <c r="P297" s="2">
        <v>0</v>
      </c>
      <c r="Q297" s="2">
        <v>0</v>
      </c>
      <c r="R297" s="2">
        <v>0</v>
      </c>
      <c r="S297" s="8" t="str">
        <f t="shared" si="12"/>
        <v>30545788167000505235841</v>
      </c>
      <c r="T297" s="14" t="str">
        <f>IFERROR(VLOOKUP(S297,AFIP!$F$2:$R$999999,12,FALSE),"NO")</f>
        <v>NO</v>
      </c>
      <c r="U297" s="10" t="str">
        <f t="shared" si="13"/>
        <v>NO</v>
      </c>
      <c r="V297" s="10" t="str">
        <f>IFERROR(VLOOKUP(S297,AFIP!$F$2:$R$999999,13,FALSE),"NO")</f>
        <v>NO</v>
      </c>
      <c r="W297" s="1" t="str">
        <f t="shared" si="14"/>
        <v>NO</v>
      </c>
    </row>
    <row r="298" spans="1:23" x14ac:dyDescent="0.25">
      <c r="A298" s="1" t="s">
        <v>97</v>
      </c>
      <c r="B298" s="1" t="s">
        <v>98</v>
      </c>
      <c r="C298" s="1" t="s">
        <v>19</v>
      </c>
      <c r="D298" s="1">
        <v>30545788167</v>
      </c>
      <c r="E298" s="1" t="s">
        <v>20</v>
      </c>
      <c r="F298" s="1" t="s">
        <v>381</v>
      </c>
      <c r="G298" s="1" t="s">
        <v>53</v>
      </c>
      <c r="H298" s="1" t="s">
        <v>54</v>
      </c>
      <c r="I298" s="1" t="s">
        <v>1099</v>
      </c>
      <c r="J298" s="2">
        <v>27</v>
      </c>
      <c r="K298" s="12">
        <v>272890.5</v>
      </c>
      <c r="L298" s="2">
        <v>209915.77</v>
      </c>
      <c r="M298" s="2">
        <v>0</v>
      </c>
      <c r="N298" s="12">
        <v>56677.26</v>
      </c>
      <c r="O298" s="2">
        <v>6297.47</v>
      </c>
      <c r="P298" s="2">
        <v>0</v>
      </c>
      <c r="Q298" s="2">
        <v>0</v>
      </c>
      <c r="R298" s="2">
        <v>0</v>
      </c>
      <c r="S298" s="8" t="str">
        <f t="shared" si="12"/>
        <v>30545788167000505236016</v>
      </c>
      <c r="T298" s="14" t="str">
        <f>IFERROR(VLOOKUP(S298,AFIP!$F$2:$R$999999,12,FALSE),"NO")</f>
        <v>NO</v>
      </c>
      <c r="U298" s="10" t="str">
        <f t="shared" si="13"/>
        <v>NO</v>
      </c>
      <c r="V298" s="10" t="str">
        <f>IFERROR(VLOOKUP(S298,AFIP!$F$2:$R$999999,13,FALSE),"NO")</f>
        <v>NO</v>
      </c>
      <c r="W298" s="1" t="str">
        <f t="shared" si="14"/>
        <v>NO</v>
      </c>
    </row>
    <row r="299" spans="1:23" x14ac:dyDescent="0.25">
      <c r="A299" s="1" t="s">
        <v>97</v>
      </c>
      <c r="B299" s="1" t="s">
        <v>98</v>
      </c>
      <c r="C299" s="1" t="s">
        <v>19</v>
      </c>
      <c r="D299" s="1">
        <v>30545788167</v>
      </c>
      <c r="E299" s="1" t="s">
        <v>20</v>
      </c>
      <c r="F299" s="1" t="s">
        <v>381</v>
      </c>
      <c r="G299" s="1" t="s">
        <v>53</v>
      </c>
      <c r="H299" s="1" t="s">
        <v>54</v>
      </c>
      <c r="I299" s="1" t="s">
        <v>1099</v>
      </c>
      <c r="J299" s="2">
        <v>0</v>
      </c>
      <c r="K299" s="12">
        <v>14487.48</v>
      </c>
      <c r="L299" s="2">
        <v>0</v>
      </c>
      <c r="M299" s="2">
        <v>14487.48</v>
      </c>
      <c r="N299" s="12">
        <v>0</v>
      </c>
      <c r="O299" s="2">
        <v>0</v>
      </c>
      <c r="P299" s="2">
        <v>0</v>
      </c>
      <c r="Q299" s="2">
        <v>0</v>
      </c>
      <c r="R299" s="2">
        <v>0</v>
      </c>
      <c r="S299" s="8" t="str">
        <f t="shared" si="12"/>
        <v>30545788167000505236016</v>
      </c>
      <c r="T299" s="14" t="str">
        <f>IFERROR(VLOOKUP(S299,AFIP!$F$2:$R$999999,12,FALSE),"NO")</f>
        <v>NO</v>
      </c>
      <c r="U299" s="10" t="str">
        <f t="shared" si="13"/>
        <v>NO</v>
      </c>
      <c r="V299" s="10" t="str">
        <f>IFERROR(VLOOKUP(S299,AFIP!$F$2:$R$999999,13,FALSE),"NO")</f>
        <v>NO</v>
      </c>
      <c r="W299" s="1" t="str">
        <f t="shared" si="14"/>
        <v>NO</v>
      </c>
    </row>
    <row r="300" spans="1:23" hidden="1" x14ac:dyDescent="0.25">
      <c r="A300" s="1" t="s">
        <v>631</v>
      </c>
      <c r="B300" s="1" t="s">
        <v>632</v>
      </c>
      <c r="C300" s="1" t="s">
        <v>19</v>
      </c>
      <c r="D300" s="1">
        <v>27250355276</v>
      </c>
      <c r="E300" s="1" t="s">
        <v>20</v>
      </c>
      <c r="F300" s="1" t="s">
        <v>381</v>
      </c>
      <c r="G300" s="1" t="s">
        <v>53</v>
      </c>
      <c r="H300" s="1" t="s">
        <v>54</v>
      </c>
      <c r="I300" s="1" t="s">
        <v>633</v>
      </c>
      <c r="J300" s="2">
        <v>21</v>
      </c>
      <c r="K300" s="12">
        <v>48400</v>
      </c>
      <c r="L300" s="2">
        <v>40000</v>
      </c>
      <c r="M300" s="2">
        <v>0</v>
      </c>
      <c r="N300" s="12">
        <v>8400</v>
      </c>
      <c r="O300" s="2">
        <v>0</v>
      </c>
      <c r="P300" s="2">
        <v>0</v>
      </c>
      <c r="Q300" s="2">
        <v>0</v>
      </c>
      <c r="R300" s="2">
        <v>0</v>
      </c>
      <c r="S300" s="8" t="str">
        <f t="shared" si="12"/>
        <v>27250355276000600000485</v>
      </c>
      <c r="T300" s="14">
        <f>IFERROR(VLOOKUP(S300,AFIP!$F$2:$R$999999,12,FALSE),"NO")</f>
        <v>8400</v>
      </c>
      <c r="U300" s="10" t="str">
        <f t="shared" si="13"/>
        <v>SI</v>
      </c>
      <c r="V300" s="10">
        <f>IFERROR(VLOOKUP(S300,AFIP!$F$2:$R$999999,13,FALSE),"NO")</f>
        <v>48400</v>
      </c>
      <c r="W300" s="1" t="str">
        <f t="shared" si="14"/>
        <v>SI</v>
      </c>
    </row>
    <row r="301" spans="1:23" hidden="1" x14ac:dyDescent="0.25">
      <c r="A301" s="1" t="s">
        <v>1100</v>
      </c>
      <c r="B301" s="1" t="s">
        <v>901</v>
      </c>
      <c r="C301" s="1" t="s">
        <v>19</v>
      </c>
      <c r="D301" s="1">
        <v>30715476270</v>
      </c>
      <c r="E301" s="1" t="s">
        <v>20</v>
      </c>
      <c r="F301" s="1" t="s">
        <v>381</v>
      </c>
      <c r="G301" s="1" t="s">
        <v>53</v>
      </c>
      <c r="H301" s="1" t="s">
        <v>54</v>
      </c>
      <c r="I301" s="1" t="s">
        <v>1101</v>
      </c>
      <c r="J301" s="2">
        <v>21</v>
      </c>
      <c r="K301" s="12">
        <v>10200</v>
      </c>
      <c r="L301" s="2">
        <v>8429.75</v>
      </c>
      <c r="M301" s="2">
        <v>0</v>
      </c>
      <c r="N301" s="12">
        <v>1770.25</v>
      </c>
      <c r="O301" s="2">
        <v>0</v>
      </c>
      <c r="P301" s="2">
        <v>0</v>
      </c>
      <c r="Q301" s="2">
        <v>0</v>
      </c>
      <c r="R301" s="2">
        <v>0</v>
      </c>
      <c r="S301" s="8" t="str">
        <f t="shared" si="12"/>
        <v>30715476270000700001812</v>
      </c>
      <c r="T301" s="14">
        <f>IFERROR(VLOOKUP(S301,AFIP!$F$2:$R$999999,12,FALSE),"NO")</f>
        <v>1770.24</v>
      </c>
      <c r="U301" s="10" t="str">
        <f t="shared" si="13"/>
        <v>NO</v>
      </c>
      <c r="V301" s="10">
        <f>IFERROR(VLOOKUP(S301,AFIP!$F$2:$R$999999,13,FALSE),"NO")</f>
        <v>10199.99</v>
      </c>
      <c r="W301" s="1" t="str">
        <f t="shared" si="14"/>
        <v>NO</v>
      </c>
    </row>
    <row r="302" spans="1:23" hidden="1" x14ac:dyDescent="0.25">
      <c r="A302" s="1" t="s">
        <v>41</v>
      </c>
      <c r="B302" s="1" t="s">
        <v>42</v>
      </c>
      <c r="C302" s="1" t="s">
        <v>19</v>
      </c>
      <c r="D302" s="1">
        <v>30617472615</v>
      </c>
      <c r="E302" s="1" t="s">
        <v>20</v>
      </c>
      <c r="F302" s="1" t="s">
        <v>381</v>
      </c>
      <c r="G302" s="1" t="s">
        <v>53</v>
      </c>
      <c r="H302" s="1" t="s">
        <v>54</v>
      </c>
      <c r="I302" s="1" t="s">
        <v>634</v>
      </c>
      <c r="J302" s="2">
        <v>21</v>
      </c>
      <c r="K302" s="12">
        <v>7991258.9500000002</v>
      </c>
      <c r="L302" s="2">
        <v>6604346.2599999998</v>
      </c>
      <c r="M302" s="2">
        <v>0</v>
      </c>
      <c r="N302" s="12">
        <v>1386912.69</v>
      </c>
      <c r="O302" s="2">
        <v>0</v>
      </c>
      <c r="P302" s="2">
        <v>0</v>
      </c>
      <c r="Q302" s="2">
        <v>0</v>
      </c>
      <c r="R302" s="2">
        <v>0</v>
      </c>
      <c r="S302" s="8" t="str">
        <f t="shared" si="12"/>
        <v>30617472615000900004096</v>
      </c>
      <c r="T302" s="14">
        <f>IFERROR(VLOOKUP(S302,AFIP!$F$2:$R$999999,12,FALSE),"NO")</f>
        <v>1386912.71</v>
      </c>
      <c r="U302" s="10" t="str">
        <f t="shared" si="13"/>
        <v>NO</v>
      </c>
      <c r="V302" s="10">
        <f>IFERROR(VLOOKUP(S302,AFIP!$F$2:$R$999999,13,FALSE),"NO")</f>
        <v>7991258.9500000002</v>
      </c>
      <c r="W302" s="1" t="str">
        <f t="shared" si="14"/>
        <v>SI</v>
      </c>
    </row>
    <row r="303" spans="1:23" x14ac:dyDescent="0.25">
      <c r="A303" s="1" t="s">
        <v>635</v>
      </c>
      <c r="B303" s="1" t="s">
        <v>636</v>
      </c>
      <c r="C303" s="1" t="s">
        <v>19</v>
      </c>
      <c r="D303" s="1">
        <v>30693186230</v>
      </c>
      <c r="E303" s="1" t="s">
        <v>20</v>
      </c>
      <c r="F303" s="1" t="s">
        <v>381</v>
      </c>
      <c r="G303" s="1" t="s">
        <v>53</v>
      </c>
      <c r="H303" s="1" t="s">
        <v>54</v>
      </c>
      <c r="I303" s="1" t="s">
        <v>637</v>
      </c>
      <c r="J303" s="2">
        <v>21</v>
      </c>
      <c r="K303" s="12">
        <v>19212.48</v>
      </c>
      <c r="L303" s="2">
        <v>15878.08</v>
      </c>
      <c r="M303" s="2">
        <v>0</v>
      </c>
      <c r="N303" s="12">
        <v>3334.4</v>
      </c>
      <c r="O303" s="2">
        <v>0</v>
      </c>
      <c r="P303" s="2">
        <v>0</v>
      </c>
      <c r="Q303" s="2">
        <v>0</v>
      </c>
      <c r="R303" s="2">
        <v>0</v>
      </c>
      <c r="S303" s="8" t="str">
        <f t="shared" si="12"/>
        <v>30693186230001500014523</v>
      </c>
      <c r="T303" s="14" t="str">
        <f>IFERROR(VLOOKUP(S303,AFIP!$F$2:$R$999999,12,FALSE),"NO")</f>
        <v>NO</v>
      </c>
      <c r="U303" s="10" t="str">
        <f t="shared" si="13"/>
        <v>NO</v>
      </c>
      <c r="V303" s="10" t="str">
        <f>IFERROR(VLOOKUP(S303,AFIP!$F$2:$R$999999,13,FALSE),"NO")</f>
        <v>NO</v>
      </c>
      <c r="W303" s="1" t="str">
        <f t="shared" si="14"/>
        <v>NO</v>
      </c>
    </row>
    <row r="304" spans="1:23" x14ac:dyDescent="0.25">
      <c r="A304" s="1" t="s">
        <v>635</v>
      </c>
      <c r="B304" s="1" t="s">
        <v>636</v>
      </c>
      <c r="C304" s="1" t="s">
        <v>19</v>
      </c>
      <c r="D304" s="1">
        <v>30693186230</v>
      </c>
      <c r="E304" s="1" t="s">
        <v>20</v>
      </c>
      <c r="F304" s="1" t="s">
        <v>381</v>
      </c>
      <c r="G304" s="1" t="s">
        <v>53</v>
      </c>
      <c r="H304" s="1" t="s">
        <v>54</v>
      </c>
      <c r="I304" s="1" t="s">
        <v>637</v>
      </c>
      <c r="J304" s="2">
        <v>0</v>
      </c>
      <c r="K304" s="12">
        <v>37.520000000000003</v>
      </c>
      <c r="L304" s="2">
        <v>0</v>
      </c>
      <c r="M304" s="2">
        <v>37.520000000000003</v>
      </c>
      <c r="N304" s="12">
        <v>0</v>
      </c>
      <c r="O304" s="2">
        <v>0</v>
      </c>
      <c r="P304" s="2">
        <v>0</v>
      </c>
      <c r="Q304" s="2">
        <v>0</v>
      </c>
      <c r="R304" s="2">
        <v>0</v>
      </c>
      <c r="S304" s="8" t="str">
        <f t="shared" si="12"/>
        <v>30693186230001500014523</v>
      </c>
      <c r="T304" s="14" t="str">
        <f>IFERROR(VLOOKUP(S304,AFIP!$F$2:$R$999999,12,FALSE),"NO")</f>
        <v>NO</v>
      </c>
      <c r="U304" s="10" t="str">
        <f t="shared" si="13"/>
        <v>NO</v>
      </c>
      <c r="V304" s="10" t="str">
        <f>IFERROR(VLOOKUP(S304,AFIP!$F$2:$R$999999,13,FALSE),"NO")</f>
        <v>NO</v>
      </c>
      <c r="W304" s="1" t="str">
        <f t="shared" si="14"/>
        <v>NO</v>
      </c>
    </row>
    <row r="305" spans="1:23" hidden="1" x14ac:dyDescent="0.25">
      <c r="A305" s="1" t="s">
        <v>91</v>
      </c>
      <c r="B305" s="1" t="s">
        <v>92</v>
      </c>
      <c r="C305" s="1" t="s">
        <v>19</v>
      </c>
      <c r="D305" s="1">
        <v>30601652044</v>
      </c>
      <c r="E305" s="1" t="s">
        <v>20</v>
      </c>
      <c r="F305" s="1" t="s">
        <v>381</v>
      </c>
      <c r="G305" s="1" t="s">
        <v>53</v>
      </c>
      <c r="H305" s="1" t="s">
        <v>54</v>
      </c>
      <c r="I305" s="1" t="s">
        <v>638</v>
      </c>
      <c r="J305" s="2">
        <v>21</v>
      </c>
      <c r="K305" s="12">
        <v>71237.52</v>
      </c>
      <c r="L305" s="2">
        <v>58873.98</v>
      </c>
      <c r="M305" s="2">
        <v>0</v>
      </c>
      <c r="N305" s="12">
        <v>12363.54</v>
      </c>
      <c r="O305" s="2">
        <v>0</v>
      </c>
      <c r="P305" s="2">
        <v>0</v>
      </c>
      <c r="Q305" s="2">
        <v>0</v>
      </c>
      <c r="R305" s="2">
        <v>0</v>
      </c>
      <c r="S305" s="8" t="str">
        <f t="shared" si="12"/>
        <v>30601652044001800009360</v>
      </c>
      <c r="T305" s="14">
        <f>IFERROR(VLOOKUP(S305,AFIP!$F$2:$R$999999,12,FALSE),"NO")</f>
        <v>12363.53</v>
      </c>
      <c r="U305" s="10" t="str">
        <f t="shared" si="13"/>
        <v>NO</v>
      </c>
      <c r="V305" s="10">
        <f>IFERROR(VLOOKUP(S305,AFIP!$F$2:$R$999999,13,FALSE),"NO")</f>
        <v>71237.509999999995</v>
      </c>
      <c r="W305" s="1" t="str">
        <f t="shared" si="14"/>
        <v>NO</v>
      </c>
    </row>
    <row r="306" spans="1:23" hidden="1" x14ac:dyDescent="0.25">
      <c r="A306" s="1" t="s">
        <v>1090</v>
      </c>
      <c r="B306" s="1" t="s">
        <v>1091</v>
      </c>
      <c r="C306" s="1" t="s">
        <v>19</v>
      </c>
      <c r="D306" s="1">
        <v>30543035064</v>
      </c>
      <c r="E306" s="1" t="s">
        <v>20</v>
      </c>
      <c r="F306" s="1" t="s">
        <v>381</v>
      </c>
      <c r="G306" s="1" t="s">
        <v>53</v>
      </c>
      <c r="H306" s="1" t="s">
        <v>54</v>
      </c>
      <c r="I306" s="1" t="s">
        <v>1102</v>
      </c>
      <c r="J306" s="2">
        <v>21</v>
      </c>
      <c r="K306" s="12">
        <v>105699.85</v>
      </c>
      <c r="L306" s="2">
        <v>87355.25</v>
      </c>
      <c r="M306" s="2">
        <v>0</v>
      </c>
      <c r="N306" s="12">
        <v>18344.599999999999</v>
      </c>
      <c r="O306" s="2">
        <v>0</v>
      </c>
      <c r="P306" s="2">
        <v>0</v>
      </c>
      <c r="Q306" s="2">
        <v>0</v>
      </c>
      <c r="R306" s="2">
        <v>0</v>
      </c>
      <c r="S306" s="8" t="str">
        <f t="shared" si="12"/>
        <v>30543035064002300042857</v>
      </c>
      <c r="T306" s="14">
        <f>IFERROR(VLOOKUP(S306,AFIP!$F$2:$R$999999,12,FALSE),"NO")</f>
        <v>18344.599999999999</v>
      </c>
      <c r="U306" s="10" t="str">
        <f t="shared" si="13"/>
        <v>SI</v>
      </c>
      <c r="V306" s="10">
        <f>IFERROR(VLOOKUP(S306,AFIP!$F$2:$R$999999,13,FALSE),"NO")</f>
        <v>119999.93</v>
      </c>
      <c r="W306" s="1" t="str">
        <f t="shared" si="14"/>
        <v>NO</v>
      </c>
    </row>
    <row r="307" spans="1:23" hidden="1" x14ac:dyDescent="0.25">
      <c r="A307" s="1" t="s">
        <v>1090</v>
      </c>
      <c r="B307" s="1" t="s">
        <v>1091</v>
      </c>
      <c r="C307" s="1" t="s">
        <v>19</v>
      </c>
      <c r="D307" s="1">
        <v>30543035064</v>
      </c>
      <c r="E307" s="1" t="s">
        <v>20</v>
      </c>
      <c r="F307" s="1" t="s">
        <v>381</v>
      </c>
      <c r="G307" s="1" t="s">
        <v>53</v>
      </c>
      <c r="H307" s="1" t="s">
        <v>54</v>
      </c>
      <c r="I307" s="1" t="s">
        <v>1102</v>
      </c>
      <c r="J307" s="2">
        <v>0</v>
      </c>
      <c r="K307" s="12">
        <v>14300.09</v>
      </c>
      <c r="L307" s="2">
        <v>0</v>
      </c>
      <c r="M307" s="2">
        <v>14300.09</v>
      </c>
      <c r="N307" s="12">
        <v>0</v>
      </c>
      <c r="O307" s="2">
        <v>0</v>
      </c>
      <c r="P307" s="2">
        <v>0</v>
      </c>
      <c r="Q307" s="2">
        <v>0</v>
      </c>
      <c r="R307" s="2">
        <v>0</v>
      </c>
      <c r="S307" s="8" t="str">
        <f t="shared" si="12"/>
        <v>30543035064002300042857</v>
      </c>
      <c r="T307" s="14">
        <f>IFERROR(VLOOKUP(S307,AFIP!$F$2:$R$999999,12,FALSE),"NO")</f>
        <v>18344.599999999999</v>
      </c>
      <c r="U307" s="10" t="str">
        <f t="shared" si="13"/>
        <v>NO</v>
      </c>
      <c r="V307" s="10">
        <f>IFERROR(VLOOKUP(S307,AFIP!$F$2:$R$999999,13,FALSE),"NO")</f>
        <v>119999.93</v>
      </c>
      <c r="W307" s="1" t="str">
        <f t="shared" si="14"/>
        <v>NO</v>
      </c>
    </row>
    <row r="308" spans="1:23" x14ac:dyDescent="0.25">
      <c r="A308" s="1" t="s">
        <v>1084</v>
      </c>
      <c r="B308" s="1" t="s">
        <v>1085</v>
      </c>
      <c r="C308" s="1" t="s">
        <v>19</v>
      </c>
      <c r="D308" s="1">
        <v>30690887661</v>
      </c>
      <c r="E308" s="1" t="s">
        <v>20</v>
      </c>
      <c r="F308" s="1" t="s">
        <v>381</v>
      </c>
      <c r="G308" s="1" t="s">
        <v>53</v>
      </c>
      <c r="H308" s="1" t="s">
        <v>54</v>
      </c>
      <c r="I308" s="1" t="s">
        <v>1103</v>
      </c>
      <c r="J308" s="2">
        <v>21</v>
      </c>
      <c r="K308" s="12">
        <v>6599.07</v>
      </c>
      <c r="L308" s="2">
        <v>5453.78</v>
      </c>
      <c r="M308" s="2">
        <v>0</v>
      </c>
      <c r="N308" s="12">
        <v>1145.29</v>
      </c>
      <c r="O308" s="2">
        <v>0</v>
      </c>
      <c r="P308" s="2">
        <v>0</v>
      </c>
      <c r="Q308" s="2">
        <v>0</v>
      </c>
      <c r="R308" s="2">
        <v>0</v>
      </c>
      <c r="S308" s="8" t="str">
        <f t="shared" si="12"/>
        <v>30690887661010600007234</v>
      </c>
      <c r="T308" s="14" t="str">
        <f>IFERROR(VLOOKUP(S308,AFIP!$F$2:$R$999999,12,FALSE),"NO")</f>
        <v>NO</v>
      </c>
      <c r="U308" s="10" t="str">
        <f t="shared" si="13"/>
        <v>NO</v>
      </c>
      <c r="V308" s="10" t="str">
        <f>IFERROR(VLOOKUP(S308,AFIP!$F$2:$R$999999,13,FALSE),"NO")</f>
        <v>NO</v>
      </c>
      <c r="W308" s="1" t="str">
        <f t="shared" si="14"/>
        <v>NO</v>
      </c>
    </row>
    <row r="309" spans="1:23" x14ac:dyDescent="0.25">
      <c r="A309" s="1" t="s">
        <v>1084</v>
      </c>
      <c r="B309" s="1" t="s">
        <v>1085</v>
      </c>
      <c r="C309" s="1" t="s">
        <v>19</v>
      </c>
      <c r="D309" s="1">
        <v>30690887661</v>
      </c>
      <c r="E309" s="1" t="s">
        <v>20</v>
      </c>
      <c r="F309" s="1" t="s">
        <v>381</v>
      </c>
      <c r="G309" s="1" t="s">
        <v>53</v>
      </c>
      <c r="H309" s="1" t="s">
        <v>54</v>
      </c>
      <c r="I309" s="1" t="s">
        <v>1103</v>
      </c>
      <c r="J309" s="2">
        <v>0</v>
      </c>
      <c r="K309" s="12">
        <v>0.93</v>
      </c>
      <c r="L309" s="2">
        <v>0</v>
      </c>
      <c r="M309" s="2">
        <v>0.93</v>
      </c>
      <c r="N309" s="12">
        <v>0</v>
      </c>
      <c r="O309" s="2">
        <v>0</v>
      </c>
      <c r="P309" s="2">
        <v>0</v>
      </c>
      <c r="Q309" s="2">
        <v>0</v>
      </c>
      <c r="R309" s="2">
        <v>0</v>
      </c>
      <c r="S309" s="8" t="str">
        <f t="shared" si="12"/>
        <v>30690887661010600007234</v>
      </c>
      <c r="T309" s="14" t="str">
        <f>IFERROR(VLOOKUP(S309,AFIP!$F$2:$R$999999,12,FALSE),"NO")</f>
        <v>NO</v>
      </c>
      <c r="U309" s="10" t="str">
        <f t="shared" si="13"/>
        <v>NO</v>
      </c>
      <c r="V309" s="10" t="str">
        <f>IFERROR(VLOOKUP(S309,AFIP!$F$2:$R$999999,13,FALSE),"NO")</f>
        <v>NO</v>
      </c>
      <c r="W309" s="1" t="str">
        <f t="shared" si="14"/>
        <v>NO</v>
      </c>
    </row>
    <row r="310" spans="1:23" x14ac:dyDescent="0.25">
      <c r="A310" s="1" t="s">
        <v>639</v>
      </c>
      <c r="B310" s="1" t="s">
        <v>640</v>
      </c>
      <c r="C310" s="1" t="s">
        <v>19</v>
      </c>
      <c r="D310" s="1">
        <v>30511534492</v>
      </c>
      <c r="E310" s="1" t="s">
        <v>20</v>
      </c>
      <c r="F310" s="1" t="s">
        <v>381</v>
      </c>
      <c r="G310" s="1" t="s">
        <v>53</v>
      </c>
      <c r="H310" s="1" t="s">
        <v>54</v>
      </c>
      <c r="I310" s="1" t="s">
        <v>641</v>
      </c>
      <c r="J310" s="2">
        <v>21</v>
      </c>
      <c r="K310" s="12">
        <v>44289.17</v>
      </c>
      <c r="L310" s="2">
        <v>36602.620000000003</v>
      </c>
      <c r="M310" s="2">
        <v>0</v>
      </c>
      <c r="N310" s="12">
        <v>7686.55</v>
      </c>
      <c r="O310" s="2">
        <v>0</v>
      </c>
      <c r="P310" s="2">
        <v>0</v>
      </c>
      <c r="Q310" s="2">
        <v>0</v>
      </c>
      <c r="R310" s="2">
        <v>0</v>
      </c>
      <c r="S310" s="8" t="str">
        <f t="shared" si="12"/>
        <v>30511534492019500012771</v>
      </c>
      <c r="T310" s="14" t="str">
        <f>IFERROR(VLOOKUP(S310,AFIP!$F$2:$R$999999,12,FALSE),"NO")</f>
        <v>NO</v>
      </c>
      <c r="U310" s="10" t="str">
        <f t="shared" si="13"/>
        <v>NO</v>
      </c>
      <c r="V310" s="10" t="str">
        <f>IFERROR(VLOOKUP(S310,AFIP!$F$2:$R$999999,13,FALSE),"NO")</f>
        <v>NO</v>
      </c>
      <c r="W310" s="1" t="str">
        <f t="shared" si="14"/>
        <v>NO</v>
      </c>
    </row>
    <row r="311" spans="1:23" x14ac:dyDescent="0.25">
      <c r="A311" s="1" t="s">
        <v>639</v>
      </c>
      <c r="B311" s="1" t="s">
        <v>640</v>
      </c>
      <c r="C311" s="1" t="s">
        <v>19</v>
      </c>
      <c r="D311" s="1">
        <v>30511534492</v>
      </c>
      <c r="E311" s="1" t="s">
        <v>20</v>
      </c>
      <c r="F311" s="1" t="s">
        <v>381</v>
      </c>
      <c r="G311" s="1" t="s">
        <v>53</v>
      </c>
      <c r="H311" s="1" t="s">
        <v>54</v>
      </c>
      <c r="I311" s="1" t="s">
        <v>641</v>
      </c>
      <c r="J311" s="2">
        <v>0</v>
      </c>
      <c r="K311" s="12">
        <v>8711.1200000000008</v>
      </c>
      <c r="L311" s="2">
        <v>0</v>
      </c>
      <c r="M311" s="2">
        <v>8711.1200000000008</v>
      </c>
      <c r="N311" s="12">
        <v>0</v>
      </c>
      <c r="O311" s="2">
        <v>0</v>
      </c>
      <c r="P311" s="2">
        <v>0</v>
      </c>
      <c r="Q311" s="2">
        <v>0</v>
      </c>
      <c r="R311" s="2">
        <v>0</v>
      </c>
      <c r="S311" s="8" t="str">
        <f t="shared" si="12"/>
        <v>30511534492019500012771</v>
      </c>
      <c r="T311" s="14" t="str">
        <f>IFERROR(VLOOKUP(S311,AFIP!$F$2:$R$999999,12,FALSE),"NO")</f>
        <v>NO</v>
      </c>
      <c r="U311" s="10" t="str">
        <f t="shared" si="13"/>
        <v>NO</v>
      </c>
      <c r="V311" s="10" t="str">
        <f>IFERROR(VLOOKUP(S311,AFIP!$F$2:$R$999999,13,FALSE),"NO")</f>
        <v>NO</v>
      </c>
      <c r="W311" s="1" t="str">
        <f t="shared" si="14"/>
        <v>NO</v>
      </c>
    </row>
    <row r="312" spans="1:23" x14ac:dyDescent="0.25">
      <c r="A312" s="1" t="s">
        <v>1104</v>
      </c>
      <c r="B312" s="1" t="s">
        <v>1105</v>
      </c>
      <c r="C312" s="1" t="s">
        <v>19</v>
      </c>
      <c r="D312" s="1">
        <v>30709514144</v>
      </c>
      <c r="E312" s="1" t="s">
        <v>20</v>
      </c>
      <c r="F312" s="1" t="s">
        <v>381</v>
      </c>
      <c r="G312" s="1" t="s">
        <v>53</v>
      </c>
      <c r="H312" s="1" t="s">
        <v>54</v>
      </c>
      <c r="I312" s="1" t="s">
        <v>1106</v>
      </c>
      <c r="J312" s="2">
        <v>27</v>
      </c>
      <c r="K312" s="12">
        <v>145631.07</v>
      </c>
      <c r="L312" s="2">
        <v>112023.9</v>
      </c>
      <c r="M312" s="2">
        <v>0</v>
      </c>
      <c r="N312" s="12">
        <v>30246.45</v>
      </c>
      <c r="O312" s="2">
        <v>3360.72</v>
      </c>
      <c r="P312" s="2">
        <v>0</v>
      </c>
      <c r="Q312" s="2">
        <v>0</v>
      </c>
      <c r="R312" s="2">
        <v>0</v>
      </c>
      <c r="S312" s="8" t="str">
        <f t="shared" si="12"/>
        <v>30709514144020001488950</v>
      </c>
      <c r="T312" s="14" t="str">
        <f>IFERROR(VLOOKUP(S312,AFIP!$F$2:$R$999999,12,FALSE),"NO")</f>
        <v>NO</v>
      </c>
      <c r="U312" s="10" t="str">
        <f t="shared" si="13"/>
        <v>NO</v>
      </c>
      <c r="V312" s="10" t="str">
        <f>IFERROR(VLOOKUP(S312,AFIP!$F$2:$R$999999,13,FALSE),"NO")</f>
        <v>NO</v>
      </c>
      <c r="W312" s="1" t="str">
        <f t="shared" si="14"/>
        <v>NO</v>
      </c>
    </row>
    <row r="313" spans="1:23" x14ac:dyDescent="0.25">
      <c r="A313" s="1" t="s">
        <v>1104</v>
      </c>
      <c r="B313" s="1" t="s">
        <v>1105</v>
      </c>
      <c r="C313" s="1" t="s">
        <v>19</v>
      </c>
      <c r="D313" s="1">
        <v>30709514144</v>
      </c>
      <c r="E313" s="1" t="s">
        <v>20</v>
      </c>
      <c r="F313" s="1" t="s">
        <v>381</v>
      </c>
      <c r="G313" s="1" t="s">
        <v>53</v>
      </c>
      <c r="H313" s="1" t="s">
        <v>54</v>
      </c>
      <c r="I313" s="1" t="s">
        <v>1106</v>
      </c>
      <c r="J313" s="2">
        <v>0</v>
      </c>
      <c r="K313" s="12">
        <v>14115.01</v>
      </c>
      <c r="L313" s="2">
        <v>0</v>
      </c>
      <c r="M313" s="2">
        <v>14115.01</v>
      </c>
      <c r="N313" s="12">
        <v>0</v>
      </c>
      <c r="O313" s="2">
        <v>0</v>
      </c>
      <c r="P313" s="2">
        <v>0</v>
      </c>
      <c r="Q313" s="2">
        <v>0</v>
      </c>
      <c r="R313" s="2">
        <v>0</v>
      </c>
      <c r="S313" s="8" t="str">
        <f t="shared" si="12"/>
        <v>30709514144020001488950</v>
      </c>
      <c r="T313" s="14" t="str">
        <f>IFERROR(VLOOKUP(S313,AFIP!$F$2:$R$999999,12,FALSE),"NO")</f>
        <v>NO</v>
      </c>
      <c r="U313" s="10" t="str">
        <f t="shared" si="13"/>
        <v>NO</v>
      </c>
      <c r="V313" s="10" t="str">
        <f>IFERROR(VLOOKUP(S313,AFIP!$F$2:$R$999999,13,FALSE),"NO")</f>
        <v>NO</v>
      </c>
      <c r="W313" s="1" t="str">
        <f t="shared" si="14"/>
        <v>NO</v>
      </c>
    </row>
    <row r="314" spans="1:23" hidden="1" x14ac:dyDescent="0.25">
      <c r="A314" s="1" t="s">
        <v>17</v>
      </c>
      <c r="B314" s="1" t="s">
        <v>18</v>
      </c>
      <c r="C314" s="1" t="s">
        <v>19</v>
      </c>
      <c r="D314" s="1">
        <v>30500529454</v>
      </c>
      <c r="E314" s="1" t="s">
        <v>20</v>
      </c>
      <c r="F314" s="1" t="s">
        <v>381</v>
      </c>
      <c r="G314" s="1" t="s">
        <v>53</v>
      </c>
      <c r="H314" s="1" t="s">
        <v>54</v>
      </c>
      <c r="I314" s="1" t="s">
        <v>642</v>
      </c>
      <c r="J314" s="2">
        <v>21</v>
      </c>
      <c r="K314" s="12">
        <v>271320.46999999997</v>
      </c>
      <c r="L314" s="2">
        <v>214618.2</v>
      </c>
      <c r="M314" s="2">
        <v>0</v>
      </c>
      <c r="N314" s="12">
        <v>45069.82</v>
      </c>
      <c r="O314" s="2">
        <v>6344.97</v>
      </c>
      <c r="P314" s="2">
        <v>5287.48</v>
      </c>
      <c r="Q314" s="2">
        <v>0</v>
      </c>
      <c r="R314" s="2">
        <v>0</v>
      </c>
      <c r="S314" s="8" t="str">
        <f t="shared" si="12"/>
        <v>30500529454026700907097</v>
      </c>
      <c r="T314" s="14">
        <f>IFERROR(VLOOKUP(S314,AFIP!$F$2:$R$999999,12,FALSE),"NO")</f>
        <v>45671.21</v>
      </c>
      <c r="U314" s="10" t="str">
        <f t="shared" si="13"/>
        <v>NO</v>
      </c>
      <c r="V314" s="10">
        <f>IFERROR(VLOOKUP(S314,AFIP!$F$2:$R$999999,13,FALSE),"NO")</f>
        <v>275114.67</v>
      </c>
      <c r="W314" s="1" t="str">
        <f t="shared" si="14"/>
        <v>NO</v>
      </c>
    </row>
    <row r="315" spans="1:23" hidden="1" x14ac:dyDescent="0.25">
      <c r="A315" s="1" t="s">
        <v>17</v>
      </c>
      <c r="B315" s="1" t="s">
        <v>18</v>
      </c>
      <c r="C315" s="1" t="s">
        <v>19</v>
      </c>
      <c r="D315" s="1">
        <v>30500529454</v>
      </c>
      <c r="E315" s="1" t="s">
        <v>20</v>
      </c>
      <c r="F315" s="1" t="s">
        <v>381</v>
      </c>
      <c r="G315" s="1" t="s">
        <v>53</v>
      </c>
      <c r="H315" s="1" t="s">
        <v>54</v>
      </c>
      <c r="I315" s="1" t="s">
        <v>642</v>
      </c>
      <c r="J315" s="2">
        <v>21</v>
      </c>
      <c r="K315" s="12">
        <v>3794.2</v>
      </c>
      <c r="L315" s="2">
        <v>2863.76</v>
      </c>
      <c r="M315" s="2">
        <v>0</v>
      </c>
      <c r="N315" s="12">
        <v>601.39</v>
      </c>
      <c r="O315" s="2">
        <v>179.49</v>
      </c>
      <c r="P315" s="2">
        <v>149.57</v>
      </c>
      <c r="Q315" s="2">
        <v>-0.01</v>
      </c>
      <c r="R315" s="2">
        <v>0</v>
      </c>
      <c r="S315" s="8" t="str">
        <f t="shared" si="12"/>
        <v>30500529454026700907097</v>
      </c>
      <c r="T315" s="14">
        <f>IFERROR(VLOOKUP(S315,AFIP!$F$2:$R$999999,12,FALSE),"NO")</f>
        <v>45671.21</v>
      </c>
      <c r="U315" s="10" t="str">
        <f t="shared" si="13"/>
        <v>NO</v>
      </c>
      <c r="V315" s="10">
        <f>IFERROR(VLOOKUP(S315,AFIP!$F$2:$R$999999,13,FALSE),"NO")</f>
        <v>275114.67</v>
      </c>
      <c r="W315" s="1" t="str">
        <f t="shared" si="14"/>
        <v>NO</v>
      </c>
    </row>
    <row r="316" spans="1:23" hidden="1" x14ac:dyDescent="0.25">
      <c r="A316" s="1" t="s">
        <v>17</v>
      </c>
      <c r="B316" s="1" t="s">
        <v>18</v>
      </c>
      <c r="C316" s="1" t="s">
        <v>19</v>
      </c>
      <c r="D316" s="1">
        <v>30500529454</v>
      </c>
      <c r="E316" s="1" t="s">
        <v>20</v>
      </c>
      <c r="F316" s="1" t="s">
        <v>381</v>
      </c>
      <c r="G316" s="1" t="s">
        <v>53</v>
      </c>
      <c r="H316" s="1" t="s">
        <v>54</v>
      </c>
      <c r="I316" s="1" t="s">
        <v>643</v>
      </c>
      <c r="J316" s="2">
        <v>21</v>
      </c>
      <c r="K316" s="12">
        <v>7533863.1500000004</v>
      </c>
      <c r="L316" s="2">
        <v>5962109.9299999997</v>
      </c>
      <c r="M316" s="2">
        <v>0</v>
      </c>
      <c r="N316" s="12">
        <v>1252043.07</v>
      </c>
      <c r="O316" s="2">
        <v>174387.36</v>
      </c>
      <c r="P316" s="2">
        <v>145322.79999999999</v>
      </c>
      <c r="Q316" s="2">
        <v>-0.01</v>
      </c>
      <c r="R316" s="2">
        <v>0</v>
      </c>
      <c r="S316" s="8" t="str">
        <f t="shared" si="12"/>
        <v>30500529454026700907098</v>
      </c>
      <c r="T316" s="14">
        <f>IFERROR(VLOOKUP(S316,AFIP!$F$2:$R$999999,12,FALSE),"NO")</f>
        <v>1281408.6599999999</v>
      </c>
      <c r="U316" s="10" t="str">
        <f t="shared" si="13"/>
        <v>NO</v>
      </c>
      <c r="V316" s="10">
        <f>IFERROR(VLOOKUP(S316,AFIP!$F$2:$R$999999,13,FALSE),"NO")</f>
        <v>7718961.7000000002</v>
      </c>
      <c r="W316" s="1" t="str">
        <f t="shared" si="14"/>
        <v>NO</v>
      </c>
    </row>
    <row r="317" spans="1:23" hidden="1" x14ac:dyDescent="0.25">
      <c r="A317" s="1" t="s">
        <v>17</v>
      </c>
      <c r="B317" s="1" t="s">
        <v>18</v>
      </c>
      <c r="C317" s="1" t="s">
        <v>19</v>
      </c>
      <c r="D317" s="1">
        <v>30500529454</v>
      </c>
      <c r="E317" s="1" t="s">
        <v>20</v>
      </c>
      <c r="F317" s="1" t="s">
        <v>381</v>
      </c>
      <c r="G317" s="1" t="s">
        <v>53</v>
      </c>
      <c r="H317" s="1" t="s">
        <v>54</v>
      </c>
      <c r="I317" s="1" t="s">
        <v>643</v>
      </c>
      <c r="J317" s="2">
        <v>21</v>
      </c>
      <c r="K317" s="12">
        <v>185098.54</v>
      </c>
      <c r="L317" s="2">
        <v>139836.09</v>
      </c>
      <c r="M317" s="2">
        <v>0</v>
      </c>
      <c r="N317" s="12">
        <v>29365.58</v>
      </c>
      <c r="O317" s="2">
        <v>8671.02</v>
      </c>
      <c r="P317" s="2">
        <v>7225.85</v>
      </c>
      <c r="Q317" s="2">
        <v>0</v>
      </c>
      <c r="R317" s="2">
        <v>0</v>
      </c>
      <c r="S317" s="8" t="str">
        <f t="shared" si="12"/>
        <v>30500529454026700907098</v>
      </c>
      <c r="T317" s="14">
        <f>IFERROR(VLOOKUP(S317,AFIP!$F$2:$R$999999,12,FALSE),"NO")</f>
        <v>1281408.6599999999</v>
      </c>
      <c r="U317" s="10" t="str">
        <f t="shared" si="13"/>
        <v>NO</v>
      </c>
      <c r="V317" s="10">
        <f>IFERROR(VLOOKUP(S317,AFIP!$F$2:$R$999999,13,FALSE),"NO")</f>
        <v>7718961.7000000002</v>
      </c>
      <c r="W317" s="1" t="str">
        <f t="shared" si="14"/>
        <v>NO</v>
      </c>
    </row>
    <row r="318" spans="1:23" hidden="1" x14ac:dyDescent="0.25">
      <c r="A318" s="1" t="s">
        <v>17</v>
      </c>
      <c r="B318" s="1" t="s">
        <v>18</v>
      </c>
      <c r="C318" s="1" t="s">
        <v>19</v>
      </c>
      <c r="D318" s="1">
        <v>30500529454</v>
      </c>
      <c r="E318" s="1" t="s">
        <v>20</v>
      </c>
      <c r="F318" s="1" t="s">
        <v>381</v>
      </c>
      <c r="G318" s="1" t="s">
        <v>53</v>
      </c>
      <c r="H318" s="1" t="s">
        <v>54</v>
      </c>
      <c r="I318" s="1" t="s">
        <v>644</v>
      </c>
      <c r="J318" s="2">
        <v>21</v>
      </c>
      <c r="K318" s="12">
        <v>21247183.66</v>
      </c>
      <c r="L318" s="2">
        <v>16826865.010000002</v>
      </c>
      <c r="M318" s="2">
        <v>0</v>
      </c>
      <c r="N318" s="12">
        <v>3533641.65</v>
      </c>
      <c r="O318" s="2">
        <v>483642.01</v>
      </c>
      <c r="P318" s="2">
        <v>403035</v>
      </c>
      <c r="Q318" s="2">
        <v>-0.01</v>
      </c>
      <c r="R318" s="2">
        <v>0</v>
      </c>
      <c r="S318" s="8" t="str">
        <f t="shared" si="12"/>
        <v>30500529454026700907099</v>
      </c>
      <c r="T318" s="14">
        <f>IFERROR(VLOOKUP(S318,AFIP!$F$2:$R$999999,12,FALSE),"NO")</f>
        <v>3695348.35</v>
      </c>
      <c r="U318" s="10" t="str">
        <f t="shared" si="13"/>
        <v>NO</v>
      </c>
      <c r="V318" s="10">
        <f>IFERROR(VLOOKUP(S318,AFIP!$F$2:$R$999999,13,FALSE),"NO")</f>
        <v>22260074.579999998</v>
      </c>
      <c r="W318" s="1" t="str">
        <f t="shared" si="14"/>
        <v>NO</v>
      </c>
    </row>
    <row r="319" spans="1:23" hidden="1" x14ac:dyDescent="0.25">
      <c r="A319" s="1" t="s">
        <v>17</v>
      </c>
      <c r="B319" s="1" t="s">
        <v>18</v>
      </c>
      <c r="C319" s="1" t="s">
        <v>19</v>
      </c>
      <c r="D319" s="1">
        <v>30500529454</v>
      </c>
      <c r="E319" s="1" t="s">
        <v>20</v>
      </c>
      <c r="F319" s="1" t="s">
        <v>381</v>
      </c>
      <c r="G319" s="1" t="s">
        <v>53</v>
      </c>
      <c r="H319" s="1" t="s">
        <v>54</v>
      </c>
      <c r="I319" s="1" t="s">
        <v>644</v>
      </c>
      <c r="J319" s="2">
        <v>21</v>
      </c>
      <c r="K319" s="12">
        <v>1012890.92</v>
      </c>
      <c r="L319" s="2">
        <v>770031.89</v>
      </c>
      <c r="M319" s="2">
        <v>0</v>
      </c>
      <c r="N319" s="12">
        <v>161706.70000000001</v>
      </c>
      <c r="O319" s="2">
        <v>44264.9</v>
      </c>
      <c r="P319" s="2">
        <v>36887.42</v>
      </c>
      <c r="Q319" s="2">
        <v>0.01</v>
      </c>
      <c r="R319" s="2">
        <v>0</v>
      </c>
      <c r="S319" s="8" t="str">
        <f t="shared" si="12"/>
        <v>30500529454026700907099</v>
      </c>
      <c r="T319" s="14">
        <f>IFERROR(VLOOKUP(S319,AFIP!$F$2:$R$999999,12,FALSE),"NO")</f>
        <v>3695348.35</v>
      </c>
      <c r="U319" s="10" t="str">
        <f t="shared" si="13"/>
        <v>NO</v>
      </c>
      <c r="V319" s="10">
        <f>IFERROR(VLOOKUP(S319,AFIP!$F$2:$R$999999,13,FALSE),"NO")</f>
        <v>22260074.579999998</v>
      </c>
      <c r="W319" s="1" t="str">
        <f t="shared" si="14"/>
        <v>NO</v>
      </c>
    </row>
    <row r="320" spans="1:23" hidden="1" x14ac:dyDescent="0.25">
      <c r="A320" s="1" t="s">
        <v>70</v>
      </c>
      <c r="B320" s="1" t="s">
        <v>71</v>
      </c>
      <c r="C320" s="1" t="s">
        <v>19</v>
      </c>
      <c r="D320" s="1">
        <v>27215633883</v>
      </c>
      <c r="E320" s="1" t="s">
        <v>63</v>
      </c>
      <c r="F320" s="1" t="s">
        <v>381</v>
      </c>
      <c r="G320" s="1" t="s">
        <v>53</v>
      </c>
      <c r="H320" s="1" t="s">
        <v>59</v>
      </c>
      <c r="I320" s="1" t="s">
        <v>645</v>
      </c>
      <c r="J320" s="2">
        <v>0</v>
      </c>
      <c r="K320" s="12">
        <v>797550.69</v>
      </c>
      <c r="L320" s="2">
        <v>0</v>
      </c>
      <c r="M320" s="2">
        <v>797550.69</v>
      </c>
      <c r="N320" s="12">
        <v>0</v>
      </c>
      <c r="O320" s="2">
        <v>0</v>
      </c>
      <c r="P320" s="2">
        <v>0</v>
      </c>
      <c r="Q320" s="2">
        <v>0</v>
      </c>
      <c r="R320" s="2">
        <v>0</v>
      </c>
      <c r="S320" s="8" t="str">
        <f t="shared" si="12"/>
        <v>27215633883000200000033</v>
      </c>
      <c r="T320" s="14">
        <f>IFERROR(VLOOKUP(S320,AFIP!$F$2:$R$999999,12,FALSE),"NO")</f>
        <v>0</v>
      </c>
      <c r="U320" s="10" t="str">
        <f t="shared" si="13"/>
        <v>SI</v>
      </c>
      <c r="V320" s="10">
        <f>IFERROR(VLOOKUP(S320,AFIP!$F$2:$R$999999,13,FALSE),"NO")</f>
        <v>797550.69</v>
      </c>
      <c r="W320" s="1" t="str">
        <f t="shared" si="14"/>
        <v>SI</v>
      </c>
    </row>
    <row r="321" spans="1:23" hidden="1" x14ac:dyDescent="0.25">
      <c r="A321" s="1" t="s">
        <v>1107</v>
      </c>
      <c r="B321" s="1" t="s">
        <v>1108</v>
      </c>
      <c r="C321" s="1" t="s">
        <v>19</v>
      </c>
      <c r="D321" s="1">
        <v>30717696774</v>
      </c>
      <c r="E321" s="1" t="s">
        <v>20</v>
      </c>
      <c r="F321" s="1" t="s">
        <v>391</v>
      </c>
      <c r="G321" s="1" t="s">
        <v>53</v>
      </c>
      <c r="H321" s="1" t="s">
        <v>54</v>
      </c>
      <c r="I321" s="1" t="s">
        <v>1109</v>
      </c>
      <c r="J321" s="2">
        <v>21</v>
      </c>
      <c r="K321" s="12">
        <v>42500</v>
      </c>
      <c r="L321" s="2">
        <v>35123.97</v>
      </c>
      <c r="M321" s="2">
        <v>0</v>
      </c>
      <c r="N321" s="12">
        <v>7376.03</v>
      </c>
      <c r="O321" s="2">
        <v>0</v>
      </c>
      <c r="P321" s="2">
        <v>0</v>
      </c>
      <c r="Q321" s="2">
        <v>0</v>
      </c>
      <c r="R321" s="2">
        <v>0</v>
      </c>
      <c r="S321" s="8" t="str">
        <f t="shared" si="12"/>
        <v>30717696774000100003963</v>
      </c>
      <c r="T321" s="14">
        <f>IFERROR(VLOOKUP(S321,AFIP!$F$2:$R$999999,12,FALSE),"NO")</f>
        <v>7376.03</v>
      </c>
      <c r="U321" s="10" t="str">
        <f t="shared" si="13"/>
        <v>SI</v>
      </c>
      <c r="V321" s="10">
        <f>IFERROR(VLOOKUP(S321,AFIP!$F$2:$R$999999,13,FALSE),"NO")</f>
        <v>42500</v>
      </c>
      <c r="W321" s="1" t="str">
        <f t="shared" si="14"/>
        <v>SI</v>
      </c>
    </row>
    <row r="322" spans="1:23" hidden="1" x14ac:dyDescent="0.25">
      <c r="A322" s="1" t="s">
        <v>432</v>
      </c>
      <c r="B322" s="1" t="s">
        <v>433</v>
      </c>
      <c r="C322" s="1" t="s">
        <v>19</v>
      </c>
      <c r="D322" s="1">
        <v>20327963415</v>
      </c>
      <c r="E322" s="1" t="s">
        <v>20</v>
      </c>
      <c r="F322" s="1" t="s">
        <v>391</v>
      </c>
      <c r="G322" s="1" t="s">
        <v>53</v>
      </c>
      <c r="H322" s="1" t="s">
        <v>54</v>
      </c>
      <c r="I322" s="1" t="s">
        <v>646</v>
      </c>
      <c r="J322" s="2">
        <v>0</v>
      </c>
      <c r="K322" s="12">
        <v>45000</v>
      </c>
      <c r="L322" s="2">
        <v>0</v>
      </c>
      <c r="M322" s="2">
        <v>45000</v>
      </c>
      <c r="N322" s="12">
        <v>0</v>
      </c>
      <c r="O322" s="2">
        <v>0</v>
      </c>
      <c r="P322" s="2">
        <v>0</v>
      </c>
      <c r="Q322" s="2">
        <v>0</v>
      </c>
      <c r="R322" s="2">
        <v>0</v>
      </c>
      <c r="S322" s="8" t="str">
        <f t="shared" si="12"/>
        <v>20327963415000200000593</v>
      </c>
      <c r="T322" s="14">
        <f>IFERROR(VLOOKUP(S322,AFIP!$F$2:$R$999999,12,FALSE),"NO")</f>
        <v>0</v>
      </c>
      <c r="U322" s="10" t="str">
        <f t="shared" si="13"/>
        <v>SI</v>
      </c>
      <c r="V322" s="10">
        <f>IFERROR(VLOOKUP(S322,AFIP!$F$2:$R$999999,13,FALSE),"NO")</f>
        <v>45000</v>
      </c>
      <c r="W322" s="1" t="str">
        <f t="shared" si="14"/>
        <v>SI</v>
      </c>
    </row>
    <row r="323" spans="1:23" hidden="1" x14ac:dyDescent="0.25">
      <c r="A323" s="1" t="s">
        <v>647</v>
      </c>
      <c r="B323" s="1" t="s">
        <v>648</v>
      </c>
      <c r="C323" s="1" t="s">
        <v>19</v>
      </c>
      <c r="D323" s="1">
        <v>20227712237</v>
      </c>
      <c r="E323" s="1" t="s">
        <v>20</v>
      </c>
      <c r="F323" s="1" t="s">
        <v>391</v>
      </c>
      <c r="G323" s="1" t="s">
        <v>53</v>
      </c>
      <c r="H323" s="1" t="s">
        <v>54</v>
      </c>
      <c r="I323" s="1" t="s">
        <v>649</v>
      </c>
      <c r="J323" s="2">
        <v>21</v>
      </c>
      <c r="K323" s="12">
        <v>43560</v>
      </c>
      <c r="L323" s="2">
        <v>36000</v>
      </c>
      <c r="M323" s="2">
        <v>0</v>
      </c>
      <c r="N323" s="12">
        <v>7560</v>
      </c>
      <c r="O323" s="2">
        <v>0</v>
      </c>
      <c r="P323" s="2">
        <v>0</v>
      </c>
      <c r="Q323" s="2">
        <v>0</v>
      </c>
      <c r="R323" s="2">
        <v>0</v>
      </c>
      <c r="S323" s="8" t="str">
        <f t="shared" ref="S323:S386" si="15">D323&amp;I323</f>
        <v>20227712237000200001309</v>
      </c>
      <c r="T323" s="14">
        <f>IFERROR(VLOOKUP(S323,AFIP!$F$2:$R$999999,12,FALSE),"NO")</f>
        <v>7560</v>
      </c>
      <c r="U323" s="10" t="str">
        <f t="shared" ref="U323:U386" si="16">IF(N323=T323,"SI","NO")</f>
        <v>SI</v>
      </c>
      <c r="V323" s="10">
        <f>IFERROR(VLOOKUP(S323,AFIP!$F$2:$R$999999,13,FALSE),"NO")</f>
        <v>43560</v>
      </c>
      <c r="W323" s="1" t="str">
        <f t="shared" ref="W323:W386" si="17">IF(K323=V323,"SI","NO")</f>
        <v>SI</v>
      </c>
    </row>
    <row r="324" spans="1:23" hidden="1" x14ac:dyDescent="0.25">
      <c r="A324" s="1" t="s">
        <v>227</v>
      </c>
      <c r="B324" s="1" t="s">
        <v>212</v>
      </c>
      <c r="C324" s="1" t="s">
        <v>19</v>
      </c>
      <c r="D324" s="1">
        <v>20054083816</v>
      </c>
      <c r="E324" s="1" t="s">
        <v>20</v>
      </c>
      <c r="F324" s="1" t="s">
        <v>391</v>
      </c>
      <c r="G324" s="1" t="s">
        <v>53</v>
      </c>
      <c r="H324" s="1" t="s">
        <v>54</v>
      </c>
      <c r="I324" s="1" t="s">
        <v>650</v>
      </c>
      <c r="J324" s="2">
        <v>21</v>
      </c>
      <c r="K324" s="12">
        <v>84384.43</v>
      </c>
      <c r="L324" s="2">
        <v>69739.199999999997</v>
      </c>
      <c r="M324" s="2">
        <v>0</v>
      </c>
      <c r="N324" s="12">
        <v>14645.23</v>
      </c>
      <c r="O324" s="2">
        <v>0</v>
      </c>
      <c r="P324" s="2">
        <v>0</v>
      </c>
      <c r="Q324" s="2">
        <v>0</v>
      </c>
      <c r="R324" s="2">
        <v>0</v>
      </c>
      <c r="S324" s="8" t="str">
        <f t="shared" si="15"/>
        <v>20054083816000200013778</v>
      </c>
      <c r="T324" s="14">
        <f>IFERROR(VLOOKUP(S324,AFIP!$F$2:$R$999999,12,FALSE),"NO")</f>
        <v>14645.23</v>
      </c>
      <c r="U324" s="10" t="str">
        <f t="shared" si="16"/>
        <v>SI</v>
      </c>
      <c r="V324" s="10">
        <f>IFERROR(VLOOKUP(S324,AFIP!$F$2:$R$999999,13,FALSE),"NO")</f>
        <v>84384.43</v>
      </c>
      <c r="W324" s="1" t="str">
        <f t="shared" si="17"/>
        <v>SI</v>
      </c>
    </row>
    <row r="325" spans="1:23" x14ac:dyDescent="0.25">
      <c r="A325" s="1" t="s">
        <v>651</v>
      </c>
      <c r="B325" s="1" t="s">
        <v>652</v>
      </c>
      <c r="C325" s="1" t="s">
        <v>19</v>
      </c>
      <c r="D325" s="1">
        <v>27139111589</v>
      </c>
      <c r="E325" s="1" t="s">
        <v>20</v>
      </c>
      <c r="F325" s="1" t="s">
        <v>391</v>
      </c>
      <c r="G325" s="1" t="s">
        <v>53</v>
      </c>
      <c r="H325" s="1" t="s">
        <v>54</v>
      </c>
      <c r="I325" s="1" t="s">
        <v>653</v>
      </c>
      <c r="J325" s="2">
        <v>21</v>
      </c>
      <c r="K325" s="12">
        <v>210000</v>
      </c>
      <c r="L325" s="2">
        <v>173554.8</v>
      </c>
      <c r="M325" s="2">
        <v>0</v>
      </c>
      <c r="N325" s="12">
        <v>36445.199999999997</v>
      </c>
      <c r="O325" s="2">
        <v>0</v>
      </c>
      <c r="P325" s="2">
        <v>0</v>
      </c>
      <c r="Q325" s="2">
        <v>0</v>
      </c>
      <c r="R325" s="2">
        <v>0</v>
      </c>
      <c r="S325" s="8" t="str">
        <f t="shared" si="15"/>
        <v>27139111589000600005687</v>
      </c>
      <c r="T325" s="14" t="str">
        <f>IFERROR(VLOOKUP(S325,AFIP!$F$2:$R$999999,12,FALSE),"NO")</f>
        <v>NO</v>
      </c>
      <c r="U325" s="10" t="str">
        <f t="shared" si="16"/>
        <v>NO</v>
      </c>
      <c r="V325" s="10" t="str">
        <f>IFERROR(VLOOKUP(S325,AFIP!$F$2:$R$999999,13,FALSE),"NO")</f>
        <v>NO</v>
      </c>
      <c r="W325" s="1" t="str">
        <f t="shared" si="17"/>
        <v>NO</v>
      </c>
    </row>
    <row r="326" spans="1:23" hidden="1" x14ac:dyDescent="0.25">
      <c r="A326" s="1" t="s">
        <v>27</v>
      </c>
      <c r="B326" s="1" t="s">
        <v>28</v>
      </c>
      <c r="C326" s="1" t="s">
        <v>19</v>
      </c>
      <c r="D326" s="1">
        <v>30501044551</v>
      </c>
      <c r="E326" s="1" t="s">
        <v>20</v>
      </c>
      <c r="F326" s="1" t="s">
        <v>391</v>
      </c>
      <c r="G326" s="1" t="s">
        <v>53</v>
      </c>
      <c r="H326" s="1" t="s">
        <v>54</v>
      </c>
      <c r="I326" s="1" t="s">
        <v>654</v>
      </c>
      <c r="J326" s="2">
        <v>21</v>
      </c>
      <c r="K326" s="12">
        <v>32.78</v>
      </c>
      <c r="L326" s="2">
        <v>27.09</v>
      </c>
      <c r="M326" s="2">
        <v>0</v>
      </c>
      <c r="N326" s="12">
        <v>5.69</v>
      </c>
      <c r="O326" s="2">
        <v>0</v>
      </c>
      <c r="P326" s="2">
        <v>0</v>
      </c>
      <c r="Q326" s="2">
        <v>0</v>
      </c>
      <c r="R326" s="2">
        <v>0</v>
      </c>
      <c r="S326" s="8" t="str">
        <f t="shared" si="15"/>
        <v>30501044551000700567665</v>
      </c>
      <c r="T326" s="14">
        <f>IFERROR(VLOOKUP(S326,AFIP!$F$2:$R$999999,12,FALSE),"NO")</f>
        <v>5.69</v>
      </c>
      <c r="U326" s="10" t="str">
        <f t="shared" si="16"/>
        <v>SI</v>
      </c>
      <c r="V326" s="10">
        <f>IFERROR(VLOOKUP(S326,AFIP!$F$2:$R$999999,13,FALSE),"NO")</f>
        <v>32.78</v>
      </c>
      <c r="W326" s="1" t="str">
        <f t="shared" si="17"/>
        <v>SI</v>
      </c>
    </row>
    <row r="327" spans="1:23" hidden="1" x14ac:dyDescent="0.25">
      <c r="A327" s="1" t="s">
        <v>655</v>
      </c>
      <c r="B327" s="1" t="s">
        <v>656</v>
      </c>
      <c r="C327" s="1" t="s">
        <v>19</v>
      </c>
      <c r="D327" s="1">
        <v>30648126189</v>
      </c>
      <c r="E327" s="1" t="s">
        <v>20</v>
      </c>
      <c r="F327" s="1" t="s">
        <v>391</v>
      </c>
      <c r="G327" s="1" t="s">
        <v>53</v>
      </c>
      <c r="H327" s="1" t="s">
        <v>54</v>
      </c>
      <c r="I327" s="1" t="s">
        <v>657</v>
      </c>
      <c r="J327" s="2">
        <v>21</v>
      </c>
      <c r="K327" s="12">
        <v>564795.01</v>
      </c>
      <c r="L327" s="2">
        <v>462000</v>
      </c>
      <c r="M327" s="2">
        <v>0</v>
      </c>
      <c r="N327" s="12">
        <v>97020</v>
      </c>
      <c r="O327" s="2">
        <v>0</v>
      </c>
      <c r="P327" s="2">
        <v>5775.01</v>
      </c>
      <c r="Q327" s="2">
        <v>0</v>
      </c>
      <c r="R327" s="2">
        <v>0</v>
      </c>
      <c r="S327" s="8" t="str">
        <f t="shared" si="15"/>
        <v>30648126189001000005445</v>
      </c>
      <c r="T327" s="14">
        <f>IFERROR(VLOOKUP(S327,AFIP!$F$2:$R$999999,12,FALSE),"NO")</f>
        <v>97020</v>
      </c>
      <c r="U327" s="10" t="str">
        <f t="shared" si="16"/>
        <v>SI</v>
      </c>
      <c r="V327" s="10">
        <f>IFERROR(VLOOKUP(S327,AFIP!$F$2:$R$999999,13,FALSE),"NO")</f>
        <v>564795.01</v>
      </c>
      <c r="W327" s="1" t="str">
        <f t="shared" si="17"/>
        <v>SI</v>
      </c>
    </row>
    <row r="328" spans="1:23" hidden="1" x14ac:dyDescent="0.25">
      <c r="A328" s="1" t="s">
        <v>60</v>
      </c>
      <c r="B328" s="1" t="s">
        <v>61</v>
      </c>
      <c r="C328" s="1" t="s">
        <v>19</v>
      </c>
      <c r="D328" s="1">
        <v>30715706934</v>
      </c>
      <c r="E328" s="1" t="s">
        <v>20</v>
      </c>
      <c r="F328" s="1" t="s">
        <v>391</v>
      </c>
      <c r="G328" s="1" t="s">
        <v>53</v>
      </c>
      <c r="H328" s="1" t="s">
        <v>54</v>
      </c>
      <c r="I328" s="1" t="s">
        <v>1110</v>
      </c>
      <c r="J328" s="2">
        <v>21</v>
      </c>
      <c r="K328" s="12">
        <v>71372.289999999994</v>
      </c>
      <c r="L328" s="2">
        <v>58985.36</v>
      </c>
      <c r="M328" s="2">
        <v>0</v>
      </c>
      <c r="N328" s="12">
        <v>12386.93</v>
      </c>
      <c r="O328" s="2">
        <v>0</v>
      </c>
      <c r="P328" s="2">
        <v>0</v>
      </c>
      <c r="Q328" s="2">
        <v>0</v>
      </c>
      <c r="R328" s="2">
        <v>0</v>
      </c>
      <c r="S328" s="8" t="str">
        <f t="shared" si="15"/>
        <v>30715706934002300022705</v>
      </c>
      <c r="T328" s="14">
        <f>IFERROR(VLOOKUP(S328,AFIP!$F$2:$R$999999,12,FALSE),"NO")</f>
        <v>12386.93</v>
      </c>
      <c r="U328" s="10" t="str">
        <f t="shared" si="16"/>
        <v>SI</v>
      </c>
      <c r="V328" s="10">
        <f>IFERROR(VLOOKUP(S328,AFIP!$F$2:$R$999999,13,FALSE),"NO")</f>
        <v>79999.91</v>
      </c>
      <c r="W328" s="1" t="str">
        <f t="shared" si="17"/>
        <v>NO</v>
      </c>
    </row>
    <row r="329" spans="1:23" hidden="1" x14ac:dyDescent="0.25">
      <c r="A329" s="1" t="s">
        <v>60</v>
      </c>
      <c r="B329" s="1" t="s">
        <v>61</v>
      </c>
      <c r="C329" s="1" t="s">
        <v>19</v>
      </c>
      <c r="D329" s="1">
        <v>30715706934</v>
      </c>
      <c r="E329" s="1" t="s">
        <v>20</v>
      </c>
      <c r="F329" s="1" t="s">
        <v>391</v>
      </c>
      <c r="G329" s="1" t="s">
        <v>53</v>
      </c>
      <c r="H329" s="1" t="s">
        <v>54</v>
      </c>
      <c r="I329" s="1" t="s">
        <v>1110</v>
      </c>
      <c r="J329" s="2">
        <v>0</v>
      </c>
      <c r="K329" s="12">
        <v>8627.6200000000008</v>
      </c>
      <c r="L329" s="2">
        <v>0</v>
      </c>
      <c r="M329" s="2">
        <v>8627.6200000000008</v>
      </c>
      <c r="N329" s="12">
        <v>0</v>
      </c>
      <c r="O329" s="2">
        <v>0</v>
      </c>
      <c r="P329" s="2">
        <v>0</v>
      </c>
      <c r="Q329" s="2">
        <v>0</v>
      </c>
      <c r="R329" s="2">
        <v>0</v>
      </c>
      <c r="S329" s="8" t="str">
        <f t="shared" si="15"/>
        <v>30715706934002300022705</v>
      </c>
      <c r="T329" s="14">
        <f>IFERROR(VLOOKUP(S329,AFIP!$F$2:$R$999999,12,FALSE),"NO")</f>
        <v>12386.93</v>
      </c>
      <c r="U329" s="10" t="str">
        <f t="shared" si="16"/>
        <v>NO</v>
      </c>
      <c r="V329" s="10">
        <f>IFERROR(VLOOKUP(S329,AFIP!$F$2:$R$999999,13,FALSE),"NO")</f>
        <v>79999.91</v>
      </c>
      <c r="W329" s="1" t="str">
        <f t="shared" si="17"/>
        <v>NO</v>
      </c>
    </row>
    <row r="330" spans="1:23" x14ac:dyDescent="0.25">
      <c r="A330" s="1" t="s">
        <v>658</v>
      </c>
      <c r="B330" s="1" t="s">
        <v>659</v>
      </c>
      <c r="C330" s="1" t="s">
        <v>19</v>
      </c>
      <c r="D330" s="1">
        <v>30601920243</v>
      </c>
      <c r="E330" s="1" t="s">
        <v>20</v>
      </c>
      <c r="F330" s="1" t="s">
        <v>391</v>
      </c>
      <c r="G330" s="1" t="s">
        <v>53</v>
      </c>
      <c r="H330" s="1" t="s">
        <v>54</v>
      </c>
      <c r="I330" s="1" t="s">
        <v>660</v>
      </c>
      <c r="J330" s="2">
        <v>21</v>
      </c>
      <c r="K330" s="12">
        <v>39631.769999999997</v>
      </c>
      <c r="L330" s="2">
        <v>32753.53</v>
      </c>
      <c r="M330" s="2">
        <v>0</v>
      </c>
      <c r="N330" s="12">
        <v>6878.24</v>
      </c>
      <c r="O330" s="2">
        <v>0</v>
      </c>
      <c r="P330" s="2">
        <v>0</v>
      </c>
      <c r="Q330" s="2">
        <v>0</v>
      </c>
      <c r="R330" s="2">
        <v>0</v>
      </c>
      <c r="S330" s="8" t="str">
        <f t="shared" si="15"/>
        <v>30601920243002300160575</v>
      </c>
      <c r="T330" s="14" t="str">
        <f>IFERROR(VLOOKUP(S330,AFIP!$F$2:$R$999999,12,FALSE),"NO")</f>
        <v>NO</v>
      </c>
      <c r="U330" s="10" t="str">
        <f t="shared" si="16"/>
        <v>NO</v>
      </c>
      <c r="V330" s="10" t="str">
        <f>IFERROR(VLOOKUP(S330,AFIP!$F$2:$R$999999,13,FALSE),"NO")</f>
        <v>NO</v>
      </c>
      <c r="W330" s="1" t="str">
        <f t="shared" si="17"/>
        <v>NO</v>
      </c>
    </row>
    <row r="331" spans="1:23" x14ac:dyDescent="0.25">
      <c r="A331" s="1" t="s">
        <v>658</v>
      </c>
      <c r="B331" s="1" t="s">
        <v>659</v>
      </c>
      <c r="C331" s="1" t="s">
        <v>19</v>
      </c>
      <c r="D331" s="1">
        <v>30601920243</v>
      </c>
      <c r="E331" s="1" t="s">
        <v>20</v>
      </c>
      <c r="F331" s="1" t="s">
        <v>391</v>
      </c>
      <c r="G331" s="1" t="s">
        <v>53</v>
      </c>
      <c r="H331" s="1" t="s">
        <v>54</v>
      </c>
      <c r="I331" s="1" t="s">
        <v>660</v>
      </c>
      <c r="J331" s="2">
        <v>0</v>
      </c>
      <c r="K331" s="12">
        <v>7370.28</v>
      </c>
      <c r="L331" s="2">
        <v>0</v>
      </c>
      <c r="M331" s="2">
        <v>7370.28</v>
      </c>
      <c r="N331" s="12">
        <v>0</v>
      </c>
      <c r="O331" s="2">
        <v>0</v>
      </c>
      <c r="P331" s="2">
        <v>0</v>
      </c>
      <c r="Q331" s="2">
        <v>0</v>
      </c>
      <c r="R331" s="2">
        <v>0</v>
      </c>
      <c r="S331" s="8" t="str">
        <f t="shared" si="15"/>
        <v>30601920243002300160575</v>
      </c>
      <c r="T331" s="14" t="str">
        <f>IFERROR(VLOOKUP(S331,AFIP!$F$2:$R$999999,12,FALSE),"NO")</f>
        <v>NO</v>
      </c>
      <c r="U331" s="10" t="str">
        <f t="shared" si="16"/>
        <v>NO</v>
      </c>
      <c r="V331" s="10" t="str">
        <f>IFERROR(VLOOKUP(S331,AFIP!$F$2:$R$999999,13,FALSE),"NO")</f>
        <v>NO</v>
      </c>
      <c r="W331" s="1" t="str">
        <f t="shared" si="17"/>
        <v>NO</v>
      </c>
    </row>
    <row r="332" spans="1:23" x14ac:dyDescent="0.25">
      <c r="A332" s="1" t="s">
        <v>658</v>
      </c>
      <c r="B332" s="1" t="s">
        <v>659</v>
      </c>
      <c r="C332" s="1" t="s">
        <v>19</v>
      </c>
      <c r="D332" s="1">
        <v>30601920243</v>
      </c>
      <c r="E332" s="1" t="s">
        <v>20</v>
      </c>
      <c r="F332" s="1" t="s">
        <v>391</v>
      </c>
      <c r="G332" s="1" t="s">
        <v>53</v>
      </c>
      <c r="H332" s="1" t="s">
        <v>54</v>
      </c>
      <c r="I332" s="1" t="s">
        <v>661</v>
      </c>
      <c r="J332" s="2">
        <v>21</v>
      </c>
      <c r="K332" s="12">
        <v>16052.95</v>
      </c>
      <c r="L332" s="2">
        <v>13266.9</v>
      </c>
      <c r="M332" s="2">
        <v>0</v>
      </c>
      <c r="N332" s="12">
        <v>2786.05</v>
      </c>
      <c r="O332" s="2">
        <v>0</v>
      </c>
      <c r="P332" s="2">
        <v>0</v>
      </c>
      <c r="Q332" s="2">
        <v>0</v>
      </c>
      <c r="R332" s="2">
        <v>0</v>
      </c>
      <c r="S332" s="8" t="str">
        <f t="shared" si="15"/>
        <v>30601920243002900020268</v>
      </c>
      <c r="T332" s="14" t="str">
        <f>IFERROR(VLOOKUP(S332,AFIP!$F$2:$R$999999,12,FALSE),"NO")</f>
        <v>NO</v>
      </c>
      <c r="U332" s="10" t="str">
        <f t="shared" si="16"/>
        <v>NO</v>
      </c>
      <c r="V332" s="10" t="str">
        <f>IFERROR(VLOOKUP(S332,AFIP!$F$2:$R$999999,13,FALSE),"NO")</f>
        <v>NO</v>
      </c>
      <c r="W332" s="1" t="str">
        <f t="shared" si="17"/>
        <v>NO</v>
      </c>
    </row>
    <row r="333" spans="1:23" x14ac:dyDescent="0.25">
      <c r="A333" s="1" t="s">
        <v>658</v>
      </c>
      <c r="B333" s="1" t="s">
        <v>659</v>
      </c>
      <c r="C333" s="1" t="s">
        <v>19</v>
      </c>
      <c r="D333" s="1">
        <v>30601920243</v>
      </c>
      <c r="E333" s="1" t="s">
        <v>20</v>
      </c>
      <c r="F333" s="1" t="s">
        <v>391</v>
      </c>
      <c r="G333" s="1" t="s">
        <v>53</v>
      </c>
      <c r="H333" s="1" t="s">
        <v>54</v>
      </c>
      <c r="I333" s="1" t="s">
        <v>661</v>
      </c>
      <c r="J333" s="2">
        <v>0</v>
      </c>
      <c r="K333" s="12">
        <v>47.05</v>
      </c>
      <c r="L333" s="2">
        <v>0</v>
      </c>
      <c r="M333" s="2">
        <v>47.05</v>
      </c>
      <c r="N333" s="12">
        <v>0</v>
      </c>
      <c r="O333" s="2">
        <v>0</v>
      </c>
      <c r="P333" s="2">
        <v>0</v>
      </c>
      <c r="Q333" s="2">
        <v>0</v>
      </c>
      <c r="R333" s="2">
        <v>0</v>
      </c>
      <c r="S333" s="8" t="str">
        <f t="shared" si="15"/>
        <v>30601920243002900020268</v>
      </c>
      <c r="T333" s="14" t="str">
        <f>IFERROR(VLOOKUP(S333,AFIP!$F$2:$R$999999,12,FALSE),"NO")</f>
        <v>NO</v>
      </c>
      <c r="U333" s="10" t="str">
        <f t="shared" si="16"/>
        <v>NO</v>
      </c>
      <c r="V333" s="10" t="str">
        <f>IFERROR(VLOOKUP(S333,AFIP!$F$2:$R$999999,13,FALSE),"NO")</f>
        <v>NO</v>
      </c>
      <c r="W333" s="1" t="str">
        <f t="shared" si="17"/>
        <v>NO</v>
      </c>
    </row>
    <row r="334" spans="1:23" x14ac:dyDescent="0.25">
      <c r="A334" s="1" t="s">
        <v>31</v>
      </c>
      <c r="B334" s="1" t="s">
        <v>32</v>
      </c>
      <c r="C334" s="1" t="s">
        <v>19</v>
      </c>
      <c r="D334" s="1">
        <v>30500529071</v>
      </c>
      <c r="E334" s="1" t="s">
        <v>20</v>
      </c>
      <c r="F334" s="1" t="s">
        <v>391</v>
      </c>
      <c r="G334" s="1" t="s">
        <v>53</v>
      </c>
      <c r="H334" s="1" t="s">
        <v>54</v>
      </c>
      <c r="I334" s="1" t="s">
        <v>662</v>
      </c>
      <c r="J334" s="2">
        <v>21</v>
      </c>
      <c r="K334" s="12">
        <v>8316900.0499999998</v>
      </c>
      <c r="L334" s="2">
        <v>6574624.6100000003</v>
      </c>
      <c r="M334" s="2">
        <v>0</v>
      </c>
      <c r="N334" s="12">
        <v>1380671.22</v>
      </c>
      <c r="O334" s="2">
        <v>197238.6</v>
      </c>
      <c r="P334" s="2">
        <v>164365.63</v>
      </c>
      <c r="Q334" s="2">
        <v>-0.01</v>
      </c>
      <c r="R334" s="2">
        <v>0</v>
      </c>
      <c r="S334" s="8" t="str">
        <f t="shared" si="15"/>
        <v>30500529071021900116699</v>
      </c>
      <c r="T334" s="14" t="str">
        <f>IFERROR(VLOOKUP(S334,AFIP!$F$2:$R$999999,12,FALSE),"NO")</f>
        <v>NO</v>
      </c>
      <c r="U334" s="10" t="str">
        <f t="shared" si="16"/>
        <v>NO</v>
      </c>
      <c r="V334" s="10" t="str">
        <f>IFERROR(VLOOKUP(S334,AFIP!$F$2:$R$999999,13,FALSE),"NO")</f>
        <v>NO</v>
      </c>
      <c r="W334" s="1" t="str">
        <f t="shared" si="17"/>
        <v>NO</v>
      </c>
    </row>
    <row r="335" spans="1:23" hidden="1" x14ac:dyDescent="0.25">
      <c r="A335" s="1" t="s">
        <v>17</v>
      </c>
      <c r="B335" s="1" t="s">
        <v>18</v>
      </c>
      <c r="C335" s="1" t="s">
        <v>19</v>
      </c>
      <c r="D335" s="1">
        <v>30500529454</v>
      </c>
      <c r="E335" s="1" t="s">
        <v>20</v>
      </c>
      <c r="F335" s="1" t="s">
        <v>391</v>
      </c>
      <c r="G335" s="1" t="s">
        <v>53</v>
      </c>
      <c r="H335" s="1" t="s">
        <v>54</v>
      </c>
      <c r="I335" s="1" t="s">
        <v>663</v>
      </c>
      <c r="J335" s="2">
        <v>21</v>
      </c>
      <c r="K335" s="12">
        <v>1266450.44</v>
      </c>
      <c r="L335" s="2">
        <v>1001760.75</v>
      </c>
      <c r="M335" s="2">
        <v>0</v>
      </c>
      <c r="N335" s="12">
        <v>210369.76</v>
      </c>
      <c r="O335" s="2">
        <v>29629.06</v>
      </c>
      <c r="P335" s="2">
        <v>24690.87</v>
      </c>
      <c r="Q335" s="2">
        <v>0</v>
      </c>
      <c r="R335" s="2">
        <v>0</v>
      </c>
      <c r="S335" s="8" t="str">
        <f t="shared" si="15"/>
        <v>30500529454026700907315</v>
      </c>
      <c r="T335" s="14">
        <f>IFERROR(VLOOKUP(S335,AFIP!$F$2:$R$999999,12,FALSE),"NO")</f>
        <v>213042.6</v>
      </c>
      <c r="U335" s="10" t="str">
        <f t="shared" si="16"/>
        <v>NO</v>
      </c>
      <c r="V335" s="10">
        <f>IFERROR(VLOOKUP(S335,AFIP!$F$2:$R$999999,13,FALSE),"NO")</f>
        <v>1283328.02</v>
      </c>
      <c r="W335" s="1" t="str">
        <f t="shared" si="17"/>
        <v>NO</v>
      </c>
    </row>
    <row r="336" spans="1:23" hidden="1" x14ac:dyDescent="0.25">
      <c r="A336" s="1" t="s">
        <v>17</v>
      </c>
      <c r="B336" s="1" t="s">
        <v>18</v>
      </c>
      <c r="C336" s="1" t="s">
        <v>19</v>
      </c>
      <c r="D336" s="1">
        <v>30500529454</v>
      </c>
      <c r="E336" s="1" t="s">
        <v>20</v>
      </c>
      <c r="F336" s="1" t="s">
        <v>391</v>
      </c>
      <c r="G336" s="1" t="s">
        <v>53</v>
      </c>
      <c r="H336" s="1" t="s">
        <v>54</v>
      </c>
      <c r="I336" s="1" t="s">
        <v>663</v>
      </c>
      <c r="J336" s="2">
        <v>21</v>
      </c>
      <c r="K336" s="12">
        <v>16877.580000000002</v>
      </c>
      <c r="L336" s="2">
        <v>12727.8</v>
      </c>
      <c r="M336" s="2">
        <v>0</v>
      </c>
      <c r="N336" s="12">
        <v>2672.84</v>
      </c>
      <c r="O336" s="2">
        <v>805.6</v>
      </c>
      <c r="P336" s="2">
        <v>671.34</v>
      </c>
      <c r="Q336" s="2">
        <v>0</v>
      </c>
      <c r="R336" s="2">
        <v>0</v>
      </c>
      <c r="S336" s="8" t="str">
        <f t="shared" si="15"/>
        <v>30500529454026700907315</v>
      </c>
      <c r="T336" s="14">
        <f>IFERROR(VLOOKUP(S336,AFIP!$F$2:$R$999999,12,FALSE),"NO")</f>
        <v>213042.6</v>
      </c>
      <c r="U336" s="10" t="str">
        <f t="shared" si="16"/>
        <v>NO</v>
      </c>
      <c r="V336" s="10">
        <f>IFERROR(VLOOKUP(S336,AFIP!$F$2:$R$999999,13,FALSE),"NO")</f>
        <v>1283328.02</v>
      </c>
      <c r="W336" s="1" t="str">
        <f t="shared" si="17"/>
        <v>NO</v>
      </c>
    </row>
    <row r="337" spans="1:23" hidden="1" x14ac:dyDescent="0.25">
      <c r="A337" s="1" t="s">
        <v>17</v>
      </c>
      <c r="B337" s="1" t="s">
        <v>18</v>
      </c>
      <c r="C337" s="1" t="s">
        <v>19</v>
      </c>
      <c r="D337" s="1">
        <v>30500529454</v>
      </c>
      <c r="E337" s="1" t="s">
        <v>20</v>
      </c>
      <c r="F337" s="1" t="s">
        <v>391</v>
      </c>
      <c r="G337" s="1" t="s">
        <v>53</v>
      </c>
      <c r="H337" s="1" t="s">
        <v>54</v>
      </c>
      <c r="I337" s="1" t="s">
        <v>664</v>
      </c>
      <c r="J337" s="2">
        <v>21</v>
      </c>
      <c r="K337" s="12">
        <v>92176526.230000004</v>
      </c>
      <c r="L337" s="2">
        <v>72963944.069999993</v>
      </c>
      <c r="M337" s="2">
        <v>0</v>
      </c>
      <c r="N337" s="12">
        <v>15322428.27</v>
      </c>
      <c r="O337" s="2">
        <v>2121902.13</v>
      </c>
      <c r="P337" s="2">
        <v>1768251.77</v>
      </c>
      <c r="Q337" s="2">
        <v>-9.9999900000000003E-3</v>
      </c>
      <c r="R337" s="2">
        <v>0</v>
      </c>
      <c r="S337" s="8" t="str">
        <f t="shared" si="15"/>
        <v>30500529454026700907443</v>
      </c>
      <c r="T337" s="14">
        <f>IFERROR(VLOOKUP(S337,AFIP!$F$2:$R$999999,12,FALSE),"NO")</f>
        <v>15767045.960000001</v>
      </c>
      <c r="U337" s="10" t="str">
        <f t="shared" si="16"/>
        <v>NO</v>
      </c>
      <c r="V337" s="10">
        <f>IFERROR(VLOOKUP(S337,AFIP!$F$2:$R$999999,13,FALSE),"NO")</f>
        <v>94977681.549999997</v>
      </c>
      <c r="W337" s="1" t="str">
        <f t="shared" si="17"/>
        <v>NO</v>
      </c>
    </row>
    <row r="338" spans="1:23" hidden="1" x14ac:dyDescent="0.25">
      <c r="A338" s="1" t="s">
        <v>17</v>
      </c>
      <c r="B338" s="1" t="s">
        <v>18</v>
      </c>
      <c r="C338" s="1" t="s">
        <v>19</v>
      </c>
      <c r="D338" s="1">
        <v>30500529454</v>
      </c>
      <c r="E338" s="1" t="s">
        <v>20</v>
      </c>
      <c r="F338" s="1" t="s">
        <v>391</v>
      </c>
      <c r="G338" s="1" t="s">
        <v>53</v>
      </c>
      <c r="H338" s="1" t="s">
        <v>54</v>
      </c>
      <c r="I338" s="1" t="s">
        <v>664</v>
      </c>
      <c r="J338" s="2">
        <v>21</v>
      </c>
      <c r="K338" s="12">
        <v>2801155.31</v>
      </c>
      <c r="L338" s="2">
        <v>2117227.1</v>
      </c>
      <c r="M338" s="2">
        <v>0</v>
      </c>
      <c r="N338" s="12">
        <v>444617.69</v>
      </c>
      <c r="O338" s="2">
        <v>130533.01</v>
      </c>
      <c r="P338" s="2">
        <v>108777.51</v>
      </c>
      <c r="Q338" s="2">
        <v>0</v>
      </c>
      <c r="R338" s="2">
        <v>0</v>
      </c>
      <c r="S338" s="8" t="str">
        <f t="shared" si="15"/>
        <v>30500529454026700907443</v>
      </c>
      <c r="T338" s="14">
        <f>IFERROR(VLOOKUP(S338,AFIP!$F$2:$R$999999,12,FALSE),"NO")</f>
        <v>15767045.960000001</v>
      </c>
      <c r="U338" s="10" t="str">
        <f t="shared" si="16"/>
        <v>NO</v>
      </c>
      <c r="V338" s="10">
        <f>IFERROR(VLOOKUP(S338,AFIP!$F$2:$R$999999,13,FALSE),"NO")</f>
        <v>94977681.549999997</v>
      </c>
      <c r="W338" s="1" t="str">
        <f t="shared" si="17"/>
        <v>NO</v>
      </c>
    </row>
    <row r="339" spans="1:23" hidden="1" x14ac:dyDescent="0.25">
      <c r="A339" s="1" t="s">
        <v>70</v>
      </c>
      <c r="B339" s="1" t="s">
        <v>71</v>
      </c>
      <c r="C339" s="1" t="s">
        <v>19</v>
      </c>
      <c r="D339" s="1">
        <v>27215633883</v>
      </c>
      <c r="E339" s="1" t="s">
        <v>63</v>
      </c>
      <c r="F339" s="1" t="s">
        <v>391</v>
      </c>
      <c r="G339" s="1" t="s">
        <v>53</v>
      </c>
      <c r="H339" s="1" t="s">
        <v>59</v>
      </c>
      <c r="I339" s="1" t="s">
        <v>296</v>
      </c>
      <c r="J339" s="2">
        <v>0</v>
      </c>
      <c r="K339" s="12">
        <v>182000</v>
      </c>
      <c r="L339" s="2">
        <v>0</v>
      </c>
      <c r="M339" s="2">
        <v>182000</v>
      </c>
      <c r="N339" s="12">
        <v>0</v>
      </c>
      <c r="O339" s="2">
        <v>0</v>
      </c>
      <c r="P339" s="2">
        <v>0</v>
      </c>
      <c r="Q339" s="2">
        <v>0</v>
      </c>
      <c r="R339" s="2">
        <v>0</v>
      </c>
      <c r="S339" s="8" t="str">
        <f t="shared" si="15"/>
        <v>27215633883000200000034</v>
      </c>
      <c r="T339" s="14">
        <f>IFERROR(VLOOKUP(S339,AFIP!$F$2:$R$999999,12,FALSE),"NO")</f>
        <v>0</v>
      </c>
      <c r="U339" s="10" t="str">
        <f t="shared" si="16"/>
        <v>SI</v>
      </c>
      <c r="V339" s="10">
        <f>IFERROR(VLOOKUP(S339,AFIP!$F$2:$R$999999,13,FALSE),"NO")</f>
        <v>182000</v>
      </c>
      <c r="W339" s="1" t="str">
        <f t="shared" si="17"/>
        <v>SI</v>
      </c>
    </row>
    <row r="340" spans="1:23" hidden="1" x14ac:dyDescent="0.25">
      <c r="A340" s="1" t="s">
        <v>473</v>
      </c>
      <c r="B340" s="1" t="s">
        <v>474</v>
      </c>
      <c r="C340" s="1" t="s">
        <v>19</v>
      </c>
      <c r="D340" s="1">
        <v>20314191294</v>
      </c>
      <c r="E340" s="1" t="s">
        <v>63</v>
      </c>
      <c r="F340" s="1" t="s">
        <v>391</v>
      </c>
      <c r="G340" s="1" t="s">
        <v>53</v>
      </c>
      <c r="H340" s="1" t="s">
        <v>59</v>
      </c>
      <c r="I340" s="1" t="s">
        <v>665</v>
      </c>
      <c r="J340" s="2">
        <v>0</v>
      </c>
      <c r="K340" s="12">
        <v>25000</v>
      </c>
      <c r="L340" s="2">
        <v>0</v>
      </c>
      <c r="M340" s="2">
        <v>25000</v>
      </c>
      <c r="N340" s="12">
        <v>0</v>
      </c>
      <c r="O340" s="2">
        <v>0</v>
      </c>
      <c r="P340" s="2">
        <v>0</v>
      </c>
      <c r="Q340" s="2">
        <v>0</v>
      </c>
      <c r="R340" s="2">
        <v>0</v>
      </c>
      <c r="S340" s="8" t="str">
        <f t="shared" si="15"/>
        <v>20314191294000300000921</v>
      </c>
      <c r="T340" s="14">
        <f>IFERROR(VLOOKUP(S340,AFIP!$F$2:$R$999999,12,FALSE),"NO")</f>
        <v>0</v>
      </c>
      <c r="U340" s="10" t="str">
        <f t="shared" si="16"/>
        <v>SI</v>
      </c>
      <c r="V340" s="10">
        <f>IFERROR(VLOOKUP(S340,AFIP!$F$2:$R$999999,13,FALSE),"NO")</f>
        <v>25000</v>
      </c>
      <c r="W340" s="1" t="str">
        <f t="shared" si="17"/>
        <v>SI</v>
      </c>
    </row>
    <row r="341" spans="1:23" hidden="1" x14ac:dyDescent="0.25">
      <c r="A341" s="1" t="s">
        <v>56</v>
      </c>
      <c r="B341" s="1" t="s">
        <v>57</v>
      </c>
      <c r="C341" s="1" t="s">
        <v>19</v>
      </c>
      <c r="D341" s="1">
        <v>30610232201</v>
      </c>
      <c r="E341" s="1" t="s">
        <v>58</v>
      </c>
      <c r="F341" s="1" t="s">
        <v>391</v>
      </c>
      <c r="G341" s="1" t="s">
        <v>53</v>
      </c>
      <c r="H341" s="1" t="s">
        <v>59</v>
      </c>
      <c r="I341" s="1" t="s">
        <v>666</v>
      </c>
      <c r="J341" s="2">
        <v>0</v>
      </c>
      <c r="K341" s="12">
        <v>45000</v>
      </c>
      <c r="L341" s="2">
        <v>0</v>
      </c>
      <c r="M341" s="2">
        <v>45000</v>
      </c>
      <c r="N341" s="12">
        <v>0</v>
      </c>
      <c r="O341" s="2">
        <v>0</v>
      </c>
      <c r="P341" s="2">
        <v>0</v>
      </c>
      <c r="Q341" s="2">
        <v>0</v>
      </c>
      <c r="R341" s="2">
        <v>0</v>
      </c>
      <c r="S341" s="8" t="str">
        <f t="shared" si="15"/>
        <v>30610232201000300004149</v>
      </c>
      <c r="T341" s="14">
        <f>IFERROR(VLOOKUP(S341,AFIP!$F$2:$R$999999,12,FALSE),"NO")</f>
        <v>0</v>
      </c>
      <c r="U341" s="10" t="str">
        <f t="shared" si="16"/>
        <v>SI</v>
      </c>
      <c r="V341" s="10">
        <f>IFERROR(VLOOKUP(S341,AFIP!$F$2:$R$999999,13,FALSE),"NO")</f>
        <v>45000</v>
      </c>
      <c r="W341" s="1" t="str">
        <f t="shared" si="17"/>
        <v>SI</v>
      </c>
    </row>
    <row r="342" spans="1:23" hidden="1" x14ac:dyDescent="0.25">
      <c r="A342" s="1" t="s">
        <v>1048</v>
      </c>
      <c r="B342" s="1" t="s">
        <v>62</v>
      </c>
      <c r="C342" s="1" t="s">
        <v>19</v>
      </c>
      <c r="D342" s="1">
        <v>20162895142</v>
      </c>
      <c r="E342" s="1" t="s">
        <v>20</v>
      </c>
      <c r="F342" s="1" t="s">
        <v>397</v>
      </c>
      <c r="G342" s="1" t="s">
        <v>53</v>
      </c>
      <c r="H342" s="1" t="s">
        <v>54</v>
      </c>
      <c r="I342" s="1" t="s">
        <v>1111</v>
      </c>
      <c r="J342" s="2">
        <v>21</v>
      </c>
      <c r="K342" s="12">
        <v>46200</v>
      </c>
      <c r="L342" s="2">
        <v>38181.82</v>
      </c>
      <c r="M342" s="2">
        <v>0</v>
      </c>
      <c r="N342" s="12">
        <v>8018.18</v>
      </c>
      <c r="O342" s="2">
        <v>0</v>
      </c>
      <c r="P342" s="2">
        <v>0</v>
      </c>
      <c r="Q342" s="2">
        <v>0</v>
      </c>
      <c r="R342" s="2">
        <v>0</v>
      </c>
      <c r="S342" s="8" t="str">
        <f t="shared" si="15"/>
        <v>20162895142000300001532</v>
      </c>
      <c r="T342" s="14">
        <f>IFERROR(VLOOKUP(S342,AFIP!$F$2:$R$999999,12,FALSE),"NO")</f>
        <v>8018.18</v>
      </c>
      <c r="U342" s="10" t="str">
        <f t="shared" si="16"/>
        <v>SI</v>
      </c>
      <c r="V342" s="10">
        <f>IFERROR(VLOOKUP(S342,AFIP!$F$2:$R$999999,13,FALSE),"NO")</f>
        <v>46200</v>
      </c>
      <c r="W342" s="1" t="str">
        <f t="shared" si="17"/>
        <v>SI</v>
      </c>
    </row>
    <row r="343" spans="1:23" hidden="1" x14ac:dyDescent="0.25">
      <c r="A343" s="1" t="s">
        <v>302</v>
      </c>
      <c r="B343" s="1" t="s">
        <v>303</v>
      </c>
      <c r="C343" s="1" t="s">
        <v>19</v>
      </c>
      <c r="D343" s="1">
        <v>20168303980</v>
      </c>
      <c r="E343" s="1" t="s">
        <v>20</v>
      </c>
      <c r="F343" s="1" t="s">
        <v>397</v>
      </c>
      <c r="G343" s="1" t="s">
        <v>53</v>
      </c>
      <c r="H343" s="1" t="s">
        <v>54</v>
      </c>
      <c r="I343" s="1" t="s">
        <v>667</v>
      </c>
      <c r="J343" s="2">
        <v>21</v>
      </c>
      <c r="K343" s="12">
        <v>943684.9</v>
      </c>
      <c r="L343" s="2">
        <v>764117.32</v>
      </c>
      <c r="M343" s="2">
        <v>0</v>
      </c>
      <c r="N343" s="12">
        <v>160464.64000000001</v>
      </c>
      <c r="O343" s="2">
        <v>0</v>
      </c>
      <c r="P343" s="2">
        <v>19102.939999999999</v>
      </c>
      <c r="Q343" s="2">
        <v>0</v>
      </c>
      <c r="R343" s="2">
        <v>0</v>
      </c>
      <c r="S343" s="8" t="str">
        <f t="shared" si="15"/>
        <v>20168303980000400005148</v>
      </c>
      <c r="T343" s="14">
        <f>IFERROR(VLOOKUP(S343,AFIP!$F$2:$R$999999,12,FALSE),"NO")</f>
        <v>160464.64000000001</v>
      </c>
      <c r="U343" s="10" t="str">
        <f t="shared" si="16"/>
        <v>SI</v>
      </c>
      <c r="V343" s="10">
        <f>IFERROR(VLOOKUP(S343,AFIP!$F$2:$R$999999,13,FALSE),"NO")</f>
        <v>943684.89</v>
      </c>
      <c r="W343" s="1" t="str">
        <f t="shared" si="17"/>
        <v>NO</v>
      </c>
    </row>
    <row r="344" spans="1:23" hidden="1" x14ac:dyDescent="0.25">
      <c r="A344" s="1" t="s">
        <v>76</v>
      </c>
      <c r="B344" s="1" t="s">
        <v>77</v>
      </c>
      <c r="C344" s="1" t="s">
        <v>19</v>
      </c>
      <c r="D344" s="1">
        <v>20128307746</v>
      </c>
      <c r="E344" s="1" t="s">
        <v>20</v>
      </c>
      <c r="F344" s="1" t="s">
        <v>397</v>
      </c>
      <c r="G344" s="1" t="s">
        <v>53</v>
      </c>
      <c r="H344" s="1" t="s">
        <v>54</v>
      </c>
      <c r="I344" s="1" t="s">
        <v>668</v>
      </c>
      <c r="J344" s="2">
        <v>21</v>
      </c>
      <c r="K344" s="12">
        <v>1960.2</v>
      </c>
      <c r="L344" s="2">
        <v>1620</v>
      </c>
      <c r="M344" s="2">
        <v>0</v>
      </c>
      <c r="N344" s="12">
        <v>340.2</v>
      </c>
      <c r="O344" s="2">
        <v>0</v>
      </c>
      <c r="P344" s="2">
        <v>0</v>
      </c>
      <c r="Q344" s="2">
        <v>0</v>
      </c>
      <c r="R344" s="2">
        <v>0</v>
      </c>
      <c r="S344" s="8" t="str">
        <f t="shared" si="15"/>
        <v>20128307746000400024283</v>
      </c>
      <c r="T344" s="14">
        <f>IFERROR(VLOOKUP(S344,AFIP!$F$2:$R$999999,12,FALSE),"NO")</f>
        <v>999.34</v>
      </c>
      <c r="U344" s="10" t="str">
        <f t="shared" si="16"/>
        <v>NO</v>
      </c>
      <c r="V344" s="10">
        <f>IFERROR(VLOOKUP(S344,AFIP!$F$2:$R$999999,13,FALSE),"NO")</f>
        <v>8896.84</v>
      </c>
      <c r="W344" s="1" t="str">
        <f t="shared" si="17"/>
        <v>NO</v>
      </c>
    </row>
    <row r="345" spans="1:23" hidden="1" x14ac:dyDescent="0.25">
      <c r="A345" s="1" t="s">
        <v>76</v>
      </c>
      <c r="B345" s="1" t="s">
        <v>77</v>
      </c>
      <c r="C345" s="1" t="s">
        <v>19</v>
      </c>
      <c r="D345" s="1">
        <v>20128307746</v>
      </c>
      <c r="E345" s="1" t="s">
        <v>20</v>
      </c>
      <c r="F345" s="1" t="s">
        <v>397</v>
      </c>
      <c r="G345" s="1" t="s">
        <v>53</v>
      </c>
      <c r="H345" s="1" t="s">
        <v>54</v>
      </c>
      <c r="I345" s="1" t="s">
        <v>668</v>
      </c>
      <c r="J345" s="2">
        <v>10.5</v>
      </c>
      <c r="K345" s="12">
        <v>6936.64</v>
      </c>
      <c r="L345" s="2">
        <v>6277.5</v>
      </c>
      <c r="M345" s="2">
        <v>0</v>
      </c>
      <c r="N345" s="12">
        <v>659.14</v>
      </c>
      <c r="O345" s="2">
        <v>0</v>
      </c>
      <c r="P345" s="2">
        <v>0</v>
      </c>
      <c r="Q345" s="2">
        <v>0</v>
      </c>
      <c r="R345" s="2">
        <v>0</v>
      </c>
      <c r="S345" s="8" t="str">
        <f t="shared" si="15"/>
        <v>20128307746000400024283</v>
      </c>
      <c r="T345" s="14">
        <f>IFERROR(VLOOKUP(S345,AFIP!$F$2:$R$999999,12,FALSE),"NO")</f>
        <v>999.34</v>
      </c>
      <c r="U345" s="10" t="str">
        <f t="shared" si="16"/>
        <v>NO</v>
      </c>
      <c r="V345" s="10">
        <f>IFERROR(VLOOKUP(S345,AFIP!$F$2:$R$999999,13,FALSE),"NO")</f>
        <v>8896.84</v>
      </c>
      <c r="W345" s="1" t="str">
        <f t="shared" si="17"/>
        <v>NO</v>
      </c>
    </row>
    <row r="346" spans="1:23" hidden="1" x14ac:dyDescent="0.25">
      <c r="A346" s="1" t="s">
        <v>1034</v>
      </c>
      <c r="B346" s="1" t="s">
        <v>250</v>
      </c>
      <c r="C346" s="1" t="s">
        <v>19</v>
      </c>
      <c r="D346" s="1">
        <v>20177699889</v>
      </c>
      <c r="E346" s="1" t="s">
        <v>20</v>
      </c>
      <c r="F346" s="1" t="s">
        <v>397</v>
      </c>
      <c r="G346" s="1" t="s">
        <v>53</v>
      </c>
      <c r="H346" s="1" t="s">
        <v>54</v>
      </c>
      <c r="I346" s="1" t="s">
        <v>1112</v>
      </c>
      <c r="J346" s="2">
        <v>21</v>
      </c>
      <c r="K346" s="12">
        <v>44000</v>
      </c>
      <c r="L346" s="2">
        <v>36363.64</v>
      </c>
      <c r="M346" s="2">
        <v>0</v>
      </c>
      <c r="N346" s="12">
        <v>7636.36</v>
      </c>
      <c r="O346" s="2">
        <v>0</v>
      </c>
      <c r="P346" s="2">
        <v>0</v>
      </c>
      <c r="Q346" s="2">
        <v>0</v>
      </c>
      <c r="R346" s="2">
        <v>0</v>
      </c>
      <c r="S346" s="8" t="str">
        <f t="shared" si="15"/>
        <v>20177699889000500000508</v>
      </c>
      <c r="T346" s="14">
        <f>IFERROR(VLOOKUP(S346,AFIP!$F$2:$R$999999,12,FALSE),"NO")</f>
        <v>7636.36</v>
      </c>
      <c r="U346" s="10" t="str">
        <f t="shared" si="16"/>
        <v>SI</v>
      </c>
      <c r="V346" s="10">
        <f>IFERROR(VLOOKUP(S346,AFIP!$F$2:$R$999999,13,FALSE),"NO")</f>
        <v>44000</v>
      </c>
      <c r="W346" s="1" t="str">
        <f t="shared" si="17"/>
        <v>SI</v>
      </c>
    </row>
    <row r="347" spans="1:23" hidden="1" x14ac:dyDescent="0.25">
      <c r="A347" s="1" t="s">
        <v>133</v>
      </c>
      <c r="B347" s="1" t="s">
        <v>134</v>
      </c>
      <c r="C347" s="1" t="s">
        <v>19</v>
      </c>
      <c r="D347" s="1">
        <v>30682681108</v>
      </c>
      <c r="E347" s="1" t="s">
        <v>20</v>
      </c>
      <c r="F347" s="1" t="s">
        <v>397</v>
      </c>
      <c r="G347" s="1" t="s">
        <v>53</v>
      </c>
      <c r="H347" s="1" t="s">
        <v>54</v>
      </c>
      <c r="I347" s="1" t="s">
        <v>669</v>
      </c>
      <c r="J347" s="2">
        <v>21</v>
      </c>
      <c r="K347" s="12">
        <v>2061.52</v>
      </c>
      <c r="L347" s="2">
        <v>1725.75</v>
      </c>
      <c r="M347" s="2">
        <v>14.12</v>
      </c>
      <c r="N347" s="12">
        <v>367.12</v>
      </c>
      <c r="O347" s="2">
        <v>0</v>
      </c>
      <c r="P347" s="2">
        <v>0</v>
      </c>
      <c r="Q347" s="2">
        <v>0</v>
      </c>
      <c r="R347" s="2">
        <v>0</v>
      </c>
      <c r="S347" s="8" t="str">
        <f t="shared" si="15"/>
        <v>30682681108001000016759</v>
      </c>
      <c r="T347" s="14">
        <f>IFERROR(VLOOKUP(S347,AFIP!$F$2:$R$999999,12,FALSE),"NO")</f>
        <v>0.26</v>
      </c>
      <c r="U347" s="10" t="str">
        <f t="shared" si="16"/>
        <v>NO</v>
      </c>
      <c r="V347" s="10">
        <f>IFERROR(VLOOKUP(S347,AFIP!$F$2:$R$999999,13,FALSE),"NO")</f>
        <v>1.5</v>
      </c>
      <c r="W347" s="1" t="str">
        <f t="shared" si="17"/>
        <v>NO</v>
      </c>
    </row>
    <row r="348" spans="1:23" hidden="1" x14ac:dyDescent="0.25">
      <c r="A348" s="1" t="s">
        <v>91</v>
      </c>
      <c r="B348" s="1" t="s">
        <v>92</v>
      </c>
      <c r="C348" s="1" t="s">
        <v>19</v>
      </c>
      <c r="D348" s="1">
        <v>30601652044</v>
      </c>
      <c r="E348" s="1" t="s">
        <v>20</v>
      </c>
      <c r="F348" s="1" t="s">
        <v>397</v>
      </c>
      <c r="G348" s="1" t="s">
        <v>53</v>
      </c>
      <c r="H348" s="1" t="s">
        <v>54</v>
      </c>
      <c r="I348" s="1" t="s">
        <v>670</v>
      </c>
      <c r="J348" s="2">
        <v>21</v>
      </c>
      <c r="K348" s="12">
        <v>31820.51</v>
      </c>
      <c r="L348" s="2">
        <v>26297.94</v>
      </c>
      <c r="M348" s="2">
        <v>0</v>
      </c>
      <c r="N348" s="12">
        <v>5522.57</v>
      </c>
      <c r="O348" s="2">
        <v>0</v>
      </c>
      <c r="P348" s="2">
        <v>0</v>
      </c>
      <c r="Q348" s="2">
        <v>0</v>
      </c>
      <c r="R348" s="2">
        <v>0</v>
      </c>
      <c r="S348" s="8" t="str">
        <f t="shared" si="15"/>
        <v>30601652044001800009373</v>
      </c>
      <c r="T348" s="14">
        <f>IFERROR(VLOOKUP(S348,AFIP!$F$2:$R$999999,12,FALSE),"NO")</f>
        <v>5522.57</v>
      </c>
      <c r="U348" s="10" t="str">
        <f t="shared" si="16"/>
        <v>SI</v>
      </c>
      <c r="V348" s="10">
        <f>IFERROR(VLOOKUP(S348,AFIP!$F$2:$R$999999,13,FALSE),"NO")</f>
        <v>31820.51</v>
      </c>
      <c r="W348" s="1" t="str">
        <f t="shared" si="17"/>
        <v>SI</v>
      </c>
    </row>
    <row r="349" spans="1:23" hidden="1" x14ac:dyDescent="0.25">
      <c r="A349" s="1" t="s">
        <v>135</v>
      </c>
      <c r="B349" s="1" t="s">
        <v>136</v>
      </c>
      <c r="C349" s="1" t="s">
        <v>19</v>
      </c>
      <c r="D349" s="1">
        <v>30684386308</v>
      </c>
      <c r="E349" s="1" t="s">
        <v>20</v>
      </c>
      <c r="F349" s="1" t="s">
        <v>397</v>
      </c>
      <c r="G349" s="1" t="s">
        <v>53</v>
      </c>
      <c r="H349" s="1" t="s">
        <v>54</v>
      </c>
      <c r="I349" s="1" t="s">
        <v>671</v>
      </c>
      <c r="J349" s="2">
        <v>21</v>
      </c>
      <c r="K349" s="12">
        <v>314800</v>
      </c>
      <c r="L349" s="2">
        <v>260165.29</v>
      </c>
      <c r="M349" s="2">
        <v>0</v>
      </c>
      <c r="N349" s="12">
        <v>54634.71</v>
      </c>
      <c r="O349" s="2">
        <v>0</v>
      </c>
      <c r="P349" s="2">
        <v>0</v>
      </c>
      <c r="Q349" s="2">
        <v>0</v>
      </c>
      <c r="R349" s="2">
        <v>0</v>
      </c>
      <c r="S349" s="8" t="str">
        <f t="shared" si="15"/>
        <v>30684386308002800143224</v>
      </c>
      <c r="T349" s="14">
        <f>IFERROR(VLOOKUP(S349,AFIP!$F$2:$R$999999,12,FALSE),"NO")</f>
        <v>54634.7</v>
      </c>
      <c r="U349" s="10" t="str">
        <f t="shared" si="16"/>
        <v>NO</v>
      </c>
      <c r="V349" s="10">
        <f>IFERROR(VLOOKUP(S349,AFIP!$F$2:$R$999999,13,FALSE),"NO")</f>
        <v>314800</v>
      </c>
      <c r="W349" s="1" t="str">
        <f t="shared" si="17"/>
        <v>SI</v>
      </c>
    </row>
    <row r="350" spans="1:23" x14ac:dyDescent="0.25">
      <c r="A350" s="1" t="s">
        <v>672</v>
      </c>
      <c r="B350" s="1" t="s">
        <v>673</v>
      </c>
      <c r="C350" s="1" t="s">
        <v>19</v>
      </c>
      <c r="D350" s="1">
        <v>30548248589</v>
      </c>
      <c r="E350" s="1" t="s">
        <v>20</v>
      </c>
      <c r="F350" s="1" t="s">
        <v>397</v>
      </c>
      <c r="G350" s="1" t="s">
        <v>53</v>
      </c>
      <c r="H350" s="1" t="s">
        <v>54</v>
      </c>
      <c r="I350" s="1" t="s">
        <v>674</v>
      </c>
      <c r="J350" s="2">
        <v>21</v>
      </c>
      <c r="K350" s="12">
        <v>15700</v>
      </c>
      <c r="L350" s="2">
        <v>12975.21</v>
      </c>
      <c r="M350" s="2">
        <v>0</v>
      </c>
      <c r="N350" s="12">
        <v>2724.79</v>
      </c>
      <c r="O350" s="2">
        <v>0</v>
      </c>
      <c r="P350" s="2">
        <v>0</v>
      </c>
      <c r="Q350" s="2">
        <v>0</v>
      </c>
      <c r="R350" s="2">
        <v>0</v>
      </c>
      <c r="S350" s="8" t="str">
        <f t="shared" si="15"/>
        <v>30548248589002900004531</v>
      </c>
      <c r="T350" s="14" t="str">
        <f>IFERROR(VLOOKUP(S350,AFIP!$F$2:$R$999999,12,FALSE),"NO")</f>
        <v>NO</v>
      </c>
      <c r="U350" s="10" t="str">
        <f t="shared" si="16"/>
        <v>NO</v>
      </c>
      <c r="V350" s="10" t="str">
        <f>IFERROR(VLOOKUP(S350,AFIP!$F$2:$R$999999,13,FALSE),"NO")</f>
        <v>NO</v>
      </c>
      <c r="W350" s="1" t="str">
        <f t="shared" si="17"/>
        <v>NO</v>
      </c>
    </row>
    <row r="351" spans="1:23" x14ac:dyDescent="0.25">
      <c r="A351" s="1" t="s">
        <v>1113</v>
      </c>
      <c r="B351" s="1" t="s">
        <v>1114</v>
      </c>
      <c r="C351" s="1" t="s">
        <v>19</v>
      </c>
      <c r="D351" s="1">
        <v>30634539154</v>
      </c>
      <c r="E351" s="1" t="s">
        <v>20</v>
      </c>
      <c r="F351" s="1" t="s">
        <v>397</v>
      </c>
      <c r="G351" s="1" t="s">
        <v>53</v>
      </c>
      <c r="H351" s="1" t="s">
        <v>54</v>
      </c>
      <c r="I351" s="1" t="s">
        <v>1115</v>
      </c>
      <c r="J351" s="2">
        <v>21</v>
      </c>
      <c r="K351" s="12">
        <v>6399.99</v>
      </c>
      <c r="L351" s="2">
        <v>5289.25</v>
      </c>
      <c r="M351" s="2">
        <v>0</v>
      </c>
      <c r="N351" s="12">
        <v>1110.74</v>
      </c>
      <c r="O351" s="2">
        <v>0</v>
      </c>
      <c r="P351" s="2">
        <v>0</v>
      </c>
      <c r="Q351" s="2">
        <v>0</v>
      </c>
      <c r="R351" s="2">
        <v>0</v>
      </c>
      <c r="S351" s="8" t="str">
        <f t="shared" si="15"/>
        <v>30634539154003100003719</v>
      </c>
      <c r="T351" s="14" t="str">
        <f>IFERROR(VLOOKUP(S351,AFIP!$F$2:$R$999999,12,FALSE),"NO")</f>
        <v>NO</v>
      </c>
      <c r="U351" s="10" t="str">
        <f t="shared" si="16"/>
        <v>NO</v>
      </c>
      <c r="V351" s="10" t="str">
        <f>IFERROR(VLOOKUP(S351,AFIP!$F$2:$R$999999,13,FALSE),"NO")</f>
        <v>NO</v>
      </c>
      <c r="W351" s="1" t="str">
        <f t="shared" si="17"/>
        <v>NO</v>
      </c>
    </row>
    <row r="352" spans="1:23" x14ac:dyDescent="0.25">
      <c r="A352" s="1" t="s">
        <v>1113</v>
      </c>
      <c r="B352" s="1" t="s">
        <v>1114</v>
      </c>
      <c r="C352" s="1" t="s">
        <v>19</v>
      </c>
      <c r="D352" s="1">
        <v>30634539154</v>
      </c>
      <c r="E352" s="1" t="s">
        <v>20</v>
      </c>
      <c r="F352" s="1" t="s">
        <v>397</v>
      </c>
      <c r="G352" s="1" t="s">
        <v>53</v>
      </c>
      <c r="H352" s="1" t="s">
        <v>54</v>
      </c>
      <c r="I352" s="1" t="s">
        <v>1115</v>
      </c>
      <c r="J352" s="2">
        <v>0</v>
      </c>
      <c r="K352" s="12">
        <v>110.25</v>
      </c>
      <c r="L352" s="2">
        <v>0</v>
      </c>
      <c r="M352" s="2">
        <v>110.25</v>
      </c>
      <c r="N352" s="12">
        <v>0</v>
      </c>
      <c r="O352" s="2">
        <v>0</v>
      </c>
      <c r="P352" s="2">
        <v>0</v>
      </c>
      <c r="Q352" s="2">
        <v>0</v>
      </c>
      <c r="R352" s="2">
        <v>0</v>
      </c>
      <c r="S352" s="8" t="str">
        <f t="shared" si="15"/>
        <v>30634539154003100003719</v>
      </c>
      <c r="T352" s="14" t="str">
        <f>IFERROR(VLOOKUP(S352,AFIP!$F$2:$R$999999,12,FALSE),"NO")</f>
        <v>NO</v>
      </c>
      <c r="U352" s="10" t="str">
        <f t="shared" si="16"/>
        <v>NO</v>
      </c>
      <c r="V352" s="10" t="str">
        <f>IFERROR(VLOOKUP(S352,AFIP!$F$2:$R$999999,13,FALSE),"NO")</f>
        <v>NO</v>
      </c>
      <c r="W352" s="1" t="str">
        <f t="shared" si="17"/>
        <v>NO</v>
      </c>
    </row>
    <row r="353" spans="1:23" hidden="1" x14ac:dyDescent="0.25">
      <c r="A353" s="1" t="s">
        <v>29</v>
      </c>
      <c r="B353" s="1" t="s">
        <v>30</v>
      </c>
      <c r="C353" s="1" t="s">
        <v>19</v>
      </c>
      <c r="D353" s="1">
        <v>30621181838</v>
      </c>
      <c r="E353" s="1" t="s">
        <v>20</v>
      </c>
      <c r="F353" s="1" t="s">
        <v>397</v>
      </c>
      <c r="G353" s="1" t="s">
        <v>53</v>
      </c>
      <c r="H353" s="1" t="s">
        <v>54</v>
      </c>
      <c r="I353" s="1" t="s">
        <v>675</v>
      </c>
      <c r="J353" s="2">
        <v>21</v>
      </c>
      <c r="K353" s="12">
        <v>727985.73</v>
      </c>
      <c r="L353" s="2">
        <v>601641.1</v>
      </c>
      <c r="M353" s="2">
        <v>0</v>
      </c>
      <c r="N353" s="12">
        <v>126344.63</v>
      </c>
      <c r="O353" s="2">
        <v>0</v>
      </c>
      <c r="P353" s="2">
        <v>0</v>
      </c>
      <c r="Q353" s="2">
        <v>0</v>
      </c>
      <c r="R353" s="2">
        <v>0</v>
      </c>
      <c r="S353" s="8" t="str">
        <f t="shared" si="15"/>
        <v>30621181838003200254628</v>
      </c>
      <c r="T353" s="14">
        <f>IFERROR(VLOOKUP(S353,AFIP!$F$2:$R$999999,12,FALSE),"NO")</f>
        <v>126344.63</v>
      </c>
      <c r="U353" s="10" t="str">
        <f t="shared" si="16"/>
        <v>SI</v>
      </c>
      <c r="V353" s="10">
        <f>IFERROR(VLOOKUP(S353,AFIP!$F$2:$R$999999,13,FALSE),"NO")</f>
        <v>727985.73</v>
      </c>
      <c r="W353" s="1" t="str">
        <f t="shared" si="17"/>
        <v>SI</v>
      </c>
    </row>
    <row r="354" spans="1:23" hidden="1" x14ac:dyDescent="0.25">
      <c r="A354" s="1" t="s">
        <v>1116</v>
      </c>
      <c r="B354" s="1" t="s">
        <v>904</v>
      </c>
      <c r="C354" s="1" t="s">
        <v>19</v>
      </c>
      <c r="D354" s="1">
        <v>30711379947</v>
      </c>
      <c r="E354" s="1" t="s">
        <v>20</v>
      </c>
      <c r="F354" s="1" t="s">
        <v>397</v>
      </c>
      <c r="G354" s="1" t="s">
        <v>53</v>
      </c>
      <c r="H354" s="1" t="s">
        <v>54</v>
      </c>
      <c r="I354" s="1" t="s">
        <v>1117</v>
      </c>
      <c r="J354" s="2">
        <v>21</v>
      </c>
      <c r="K354" s="12">
        <v>64549.46</v>
      </c>
      <c r="L354" s="2">
        <v>53346.66</v>
      </c>
      <c r="M354" s="2">
        <v>0</v>
      </c>
      <c r="N354" s="12">
        <v>11202.8</v>
      </c>
      <c r="O354" s="2">
        <v>0</v>
      </c>
      <c r="P354" s="2">
        <v>0</v>
      </c>
      <c r="Q354" s="2">
        <v>0</v>
      </c>
      <c r="R354" s="2">
        <v>0</v>
      </c>
      <c r="S354" s="8" t="str">
        <f t="shared" si="15"/>
        <v>30711379947003400044679</v>
      </c>
      <c r="T354" s="14">
        <f>IFERROR(VLOOKUP(S354,AFIP!$F$2:$R$999999,12,FALSE),"NO")</f>
        <v>11202.8</v>
      </c>
      <c r="U354" s="10" t="str">
        <f t="shared" si="16"/>
        <v>SI</v>
      </c>
      <c r="V354" s="10">
        <f>IFERROR(VLOOKUP(S354,AFIP!$F$2:$R$999999,13,FALSE),"NO")</f>
        <v>77000.03</v>
      </c>
      <c r="W354" s="1" t="str">
        <f t="shared" si="17"/>
        <v>NO</v>
      </c>
    </row>
    <row r="355" spans="1:23" hidden="1" x14ac:dyDescent="0.25">
      <c r="A355" s="1" t="s">
        <v>1116</v>
      </c>
      <c r="B355" s="1" t="s">
        <v>904</v>
      </c>
      <c r="C355" s="1" t="s">
        <v>19</v>
      </c>
      <c r="D355" s="1">
        <v>30711379947</v>
      </c>
      <c r="E355" s="1" t="s">
        <v>20</v>
      </c>
      <c r="F355" s="1" t="s">
        <v>397</v>
      </c>
      <c r="G355" s="1" t="s">
        <v>53</v>
      </c>
      <c r="H355" s="1" t="s">
        <v>54</v>
      </c>
      <c r="I355" s="1" t="s">
        <v>1117</v>
      </c>
      <c r="J355" s="2">
        <v>0</v>
      </c>
      <c r="K355" s="12">
        <v>12450.57</v>
      </c>
      <c r="L355" s="2">
        <v>0</v>
      </c>
      <c r="M355" s="2">
        <v>12450.57</v>
      </c>
      <c r="N355" s="12">
        <v>0</v>
      </c>
      <c r="O355" s="2">
        <v>0</v>
      </c>
      <c r="P355" s="2">
        <v>0</v>
      </c>
      <c r="Q355" s="2">
        <v>0</v>
      </c>
      <c r="R355" s="2">
        <v>0</v>
      </c>
      <c r="S355" s="8" t="str">
        <f t="shared" si="15"/>
        <v>30711379947003400044679</v>
      </c>
      <c r="T355" s="14">
        <f>IFERROR(VLOOKUP(S355,AFIP!$F$2:$R$999999,12,FALSE),"NO")</f>
        <v>11202.8</v>
      </c>
      <c r="U355" s="10" t="str">
        <f t="shared" si="16"/>
        <v>NO</v>
      </c>
      <c r="V355" s="10">
        <f>IFERROR(VLOOKUP(S355,AFIP!$F$2:$R$999999,13,FALSE),"NO")</f>
        <v>77000.03</v>
      </c>
      <c r="W355" s="1" t="str">
        <f t="shared" si="17"/>
        <v>NO</v>
      </c>
    </row>
    <row r="356" spans="1:23" x14ac:dyDescent="0.25">
      <c r="A356" s="1" t="s">
        <v>33</v>
      </c>
      <c r="B356" s="1" t="s">
        <v>34</v>
      </c>
      <c r="C356" s="1" t="s">
        <v>19</v>
      </c>
      <c r="D356" s="1">
        <v>33708336969</v>
      </c>
      <c r="E356" s="1" t="s">
        <v>20</v>
      </c>
      <c r="F356" s="1" t="s">
        <v>397</v>
      </c>
      <c r="G356" s="1" t="s">
        <v>53</v>
      </c>
      <c r="H356" s="1" t="s">
        <v>54</v>
      </c>
      <c r="I356" s="1" t="s">
        <v>676</v>
      </c>
      <c r="J356" s="2">
        <v>21</v>
      </c>
      <c r="K356" s="12">
        <v>3300</v>
      </c>
      <c r="L356" s="2">
        <v>2727.27</v>
      </c>
      <c r="M356" s="2">
        <v>0</v>
      </c>
      <c r="N356" s="12">
        <v>572.73</v>
      </c>
      <c r="O356" s="2">
        <v>0</v>
      </c>
      <c r="P356" s="2">
        <v>0</v>
      </c>
      <c r="Q356" s="2">
        <v>0</v>
      </c>
      <c r="R356" s="2">
        <v>0</v>
      </c>
      <c r="S356" s="8" t="str">
        <f t="shared" si="15"/>
        <v>33708336969003600012119</v>
      </c>
      <c r="T356" s="14" t="str">
        <f>IFERROR(VLOOKUP(S356,AFIP!$F$2:$R$999999,12,FALSE),"NO")</f>
        <v>NO</v>
      </c>
      <c r="U356" s="10" t="str">
        <f t="shared" si="16"/>
        <v>NO</v>
      </c>
      <c r="V356" s="10" t="str">
        <f>IFERROR(VLOOKUP(S356,AFIP!$F$2:$R$999999,13,FALSE),"NO")</f>
        <v>NO</v>
      </c>
      <c r="W356" s="1" t="str">
        <f t="shared" si="17"/>
        <v>NO</v>
      </c>
    </row>
    <row r="357" spans="1:23" x14ac:dyDescent="0.25">
      <c r="A357" s="1" t="s">
        <v>1055</v>
      </c>
      <c r="B357" s="1" t="s">
        <v>1056</v>
      </c>
      <c r="C357" s="1" t="s">
        <v>19</v>
      </c>
      <c r="D357" s="1">
        <v>30668473241</v>
      </c>
      <c r="E357" s="1" t="s">
        <v>20</v>
      </c>
      <c r="F357" s="1" t="s">
        <v>397</v>
      </c>
      <c r="G357" s="1" t="s">
        <v>53</v>
      </c>
      <c r="H357" s="1" t="s">
        <v>54</v>
      </c>
      <c r="I357" s="1" t="s">
        <v>1118</v>
      </c>
      <c r="J357" s="2">
        <v>21</v>
      </c>
      <c r="K357" s="12">
        <v>61827.72</v>
      </c>
      <c r="L357" s="2">
        <v>51097.29</v>
      </c>
      <c r="M357" s="2">
        <v>0</v>
      </c>
      <c r="N357" s="12">
        <v>10730.43</v>
      </c>
      <c r="O357" s="2">
        <v>0</v>
      </c>
      <c r="P357" s="2">
        <v>0</v>
      </c>
      <c r="Q357" s="2">
        <v>0</v>
      </c>
      <c r="R357" s="2">
        <v>0</v>
      </c>
      <c r="S357" s="8" t="str">
        <f t="shared" si="15"/>
        <v>30668473241014400019216</v>
      </c>
      <c r="T357" s="14" t="str">
        <f>IFERROR(VLOOKUP(S357,AFIP!$F$2:$R$999999,12,FALSE),"NO")</f>
        <v>NO</v>
      </c>
      <c r="U357" s="10" t="str">
        <f t="shared" si="16"/>
        <v>NO</v>
      </c>
      <c r="V357" s="10" t="str">
        <f>IFERROR(VLOOKUP(S357,AFIP!$F$2:$R$999999,13,FALSE),"NO")</f>
        <v>NO</v>
      </c>
      <c r="W357" s="1" t="str">
        <f t="shared" si="17"/>
        <v>NO</v>
      </c>
    </row>
    <row r="358" spans="1:23" x14ac:dyDescent="0.25">
      <c r="A358" s="1" t="s">
        <v>1055</v>
      </c>
      <c r="B358" s="1" t="s">
        <v>1056</v>
      </c>
      <c r="C358" s="1" t="s">
        <v>19</v>
      </c>
      <c r="D358" s="1">
        <v>30668473241</v>
      </c>
      <c r="E358" s="1" t="s">
        <v>20</v>
      </c>
      <c r="F358" s="1" t="s">
        <v>397</v>
      </c>
      <c r="G358" s="1" t="s">
        <v>53</v>
      </c>
      <c r="H358" s="1" t="s">
        <v>54</v>
      </c>
      <c r="I358" s="1" t="s">
        <v>1118</v>
      </c>
      <c r="J358" s="2">
        <v>0</v>
      </c>
      <c r="K358" s="12">
        <v>8172.31</v>
      </c>
      <c r="L358" s="2">
        <v>0</v>
      </c>
      <c r="M358" s="2">
        <v>8172.31</v>
      </c>
      <c r="N358" s="12">
        <v>0</v>
      </c>
      <c r="O358" s="2">
        <v>0</v>
      </c>
      <c r="P358" s="2">
        <v>0</v>
      </c>
      <c r="Q358" s="2">
        <v>0</v>
      </c>
      <c r="R358" s="2">
        <v>0</v>
      </c>
      <c r="S358" s="8" t="str">
        <f t="shared" si="15"/>
        <v>30668473241014400019216</v>
      </c>
      <c r="T358" s="14" t="str">
        <f>IFERROR(VLOOKUP(S358,AFIP!$F$2:$R$999999,12,FALSE),"NO")</f>
        <v>NO</v>
      </c>
      <c r="U358" s="10" t="str">
        <f t="shared" si="16"/>
        <v>NO</v>
      </c>
      <c r="V358" s="10" t="str">
        <f>IFERROR(VLOOKUP(S358,AFIP!$F$2:$R$999999,13,FALSE),"NO")</f>
        <v>NO</v>
      </c>
      <c r="W358" s="1" t="str">
        <f t="shared" si="17"/>
        <v>NO</v>
      </c>
    </row>
    <row r="359" spans="1:23" hidden="1" x14ac:dyDescent="0.25">
      <c r="A359" s="1" t="s">
        <v>1119</v>
      </c>
      <c r="B359" s="1" t="s">
        <v>306</v>
      </c>
      <c r="C359" s="1" t="s">
        <v>19</v>
      </c>
      <c r="D359" s="1">
        <v>27409286106</v>
      </c>
      <c r="E359" s="1" t="s">
        <v>63</v>
      </c>
      <c r="F359" s="1" t="s">
        <v>397</v>
      </c>
      <c r="G359" s="1" t="s">
        <v>53</v>
      </c>
      <c r="H359" s="1" t="s">
        <v>59</v>
      </c>
      <c r="I359" s="1" t="s">
        <v>1120</v>
      </c>
      <c r="J359" s="2">
        <v>0</v>
      </c>
      <c r="K359" s="12">
        <v>17500</v>
      </c>
      <c r="L359" s="2">
        <v>0</v>
      </c>
      <c r="M359" s="2">
        <v>17500</v>
      </c>
      <c r="N359" s="12">
        <v>0</v>
      </c>
      <c r="O359" s="2">
        <v>0</v>
      </c>
      <c r="P359" s="2">
        <v>0</v>
      </c>
      <c r="Q359" s="2">
        <v>0</v>
      </c>
      <c r="R359" s="2">
        <v>0</v>
      </c>
      <c r="S359" s="8" t="str">
        <f t="shared" si="15"/>
        <v>27409286106000100000365</v>
      </c>
      <c r="T359" s="14">
        <f>IFERROR(VLOOKUP(S359,AFIP!$F$2:$R$999999,12,FALSE),"NO")</f>
        <v>0</v>
      </c>
      <c r="U359" s="10" t="str">
        <f t="shared" si="16"/>
        <v>SI</v>
      </c>
      <c r="V359" s="10">
        <f>IFERROR(VLOOKUP(S359,AFIP!$F$2:$R$999999,13,FALSE),"NO")</f>
        <v>17500</v>
      </c>
      <c r="W359" s="1" t="str">
        <f t="shared" si="17"/>
        <v>SI</v>
      </c>
    </row>
    <row r="360" spans="1:23" hidden="1" x14ac:dyDescent="0.25">
      <c r="A360" s="1" t="s">
        <v>677</v>
      </c>
      <c r="B360" s="1" t="s">
        <v>678</v>
      </c>
      <c r="C360" s="1" t="s">
        <v>19</v>
      </c>
      <c r="D360" s="1">
        <v>20278264891</v>
      </c>
      <c r="E360" s="1" t="s">
        <v>63</v>
      </c>
      <c r="F360" s="1" t="s">
        <v>397</v>
      </c>
      <c r="G360" s="1" t="s">
        <v>53</v>
      </c>
      <c r="H360" s="1" t="s">
        <v>59</v>
      </c>
      <c r="I360" s="1" t="s">
        <v>679</v>
      </c>
      <c r="J360" s="2">
        <v>0</v>
      </c>
      <c r="K360" s="12">
        <v>82000</v>
      </c>
      <c r="L360" s="2">
        <v>0</v>
      </c>
      <c r="M360" s="2">
        <v>82000</v>
      </c>
      <c r="N360" s="12">
        <v>0</v>
      </c>
      <c r="O360" s="2">
        <v>0</v>
      </c>
      <c r="P360" s="2">
        <v>0</v>
      </c>
      <c r="Q360" s="2">
        <v>0</v>
      </c>
      <c r="R360" s="2">
        <v>0</v>
      </c>
      <c r="S360" s="8" t="str">
        <f t="shared" si="15"/>
        <v>20278264891000200001865</v>
      </c>
      <c r="T360" s="14">
        <f>IFERROR(VLOOKUP(S360,AFIP!$F$2:$R$999999,12,FALSE),"NO")</f>
        <v>0</v>
      </c>
      <c r="U360" s="10" t="str">
        <f t="shared" si="16"/>
        <v>SI</v>
      </c>
      <c r="V360" s="10">
        <f>IFERROR(VLOOKUP(S360,AFIP!$F$2:$R$999999,13,FALSE),"NO")</f>
        <v>82000</v>
      </c>
      <c r="W360" s="1" t="str">
        <f t="shared" si="17"/>
        <v>SI</v>
      </c>
    </row>
    <row r="361" spans="1:23" hidden="1" x14ac:dyDescent="0.25">
      <c r="A361" s="1" t="s">
        <v>37</v>
      </c>
      <c r="B361" s="1" t="s">
        <v>38</v>
      </c>
      <c r="C361" s="1" t="s">
        <v>19</v>
      </c>
      <c r="D361" s="1">
        <v>30642674567</v>
      </c>
      <c r="E361" s="1" t="s">
        <v>20</v>
      </c>
      <c r="F361" s="1" t="s">
        <v>403</v>
      </c>
      <c r="G361" s="1" t="s">
        <v>53</v>
      </c>
      <c r="H361" s="1" t="s">
        <v>54</v>
      </c>
      <c r="I361" s="1" t="s">
        <v>680</v>
      </c>
      <c r="J361" s="2">
        <v>21</v>
      </c>
      <c r="K361" s="12">
        <v>34418.76</v>
      </c>
      <c r="L361" s="2">
        <v>28445.26</v>
      </c>
      <c r="M361" s="2">
        <v>0</v>
      </c>
      <c r="N361" s="12">
        <v>5973.5</v>
      </c>
      <c r="O361" s="2">
        <v>0</v>
      </c>
      <c r="P361" s="2">
        <v>0</v>
      </c>
      <c r="Q361" s="2">
        <v>0</v>
      </c>
      <c r="R361" s="2">
        <v>0</v>
      </c>
      <c r="S361" s="8" t="str">
        <f t="shared" si="15"/>
        <v>30642674567000200010397</v>
      </c>
      <c r="T361" s="14">
        <f>IFERROR(VLOOKUP(S361,AFIP!$F$2:$R$999999,12,FALSE),"NO")</f>
        <v>5973.5</v>
      </c>
      <c r="U361" s="10" t="str">
        <f t="shared" si="16"/>
        <v>SI</v>
      </c>
      <c r="V361" s="10">
        <f>IFERROR(VLOOKUP(S361,AFIP!$F$2:$R$999999,13,FALSE),"NO")</f>
        <v>34418.76</v>
      </c>
      <c r="W361" s="1" t="str">
        <f t="shared" si="17"/>
        <v>SI</v>
      </c>
    </row>
    <row r="362" spans="1:23" hidden="1" x14ac:dyDescent="0.25">
      <c r="A362" s="1" t="s">
        <v>681</v>
      </c>
      <c r="B362" s="1" t="s">
        <v>682</v>
      </c>
      <c r="C362" s="1" t="s">
        <v>19</v>
      </c>
      <c r="D362" s="1">
        <v>20263417489</v>
      </c>
      <c r="E362" s="1" t="s">
        <v>20</v>
      </c>
      <c r="F362" s="1" t="s">
        <v>403</v>
      </c>
      <c r="G362" s="1" t="s">
        <v>53</v>
      </c>
      <c r="H362" s="1" t="s">
        <v>54</v>
      </c>
      <c r="I362" s="1" t="s">
        <v>683</v>
      </c>
      <c r="J362" s="2">
        <v>21</v>
      </c>
      <c r="K362" s="12">
        <v>2008402.47</v>
      </c>
      <c r="L362" s="2">
        <v>1659836.74</v>
      </c>
      <c r="M362" s="2">
        <v>0</v>
      </c>
      <c r="N362" s="12">
        <v>348565.73</v>
      </c>
      <c r="O362" s="2">
        <v>0</v>
      </c>
      <c r="P362" s="2">
        <v>0</v>
      </c>
      <c r="Q362" s="2">
        <v>0</v>
      </c>
      <c r="R362" s="2">
        <v>0</v>
      </c>
      <c r="S362" s="8" t="str">
        <f t="shared" si="15"/>
        <v>20263417489000400000142</v>
      </c>
      <c r="T362" s="14">
        <f>IFERROR(VLOOKUP(S362,AFIP!$F$2:$R$999999,12,FALSE),"NO")</f>
        <v>348565.72</v>
      </c>
      <c r="U362" s="10" t="str">
        <f t="shared" si="16"/>
        <v>NO</v>
      </c>
      <c r="V362" s="10">
        <f>IFERROR(VLOOKUP(S362,AFIP!$F$2:$R$999999,13,FALSE),"NO")</f>
        <v>2008402.47</v>
      </c>
      <c r="W362" s="1" t="str">
        <f t="shared" si="17"/>
        <v>SI</v>
      </c>
    </row>
    <row r="363" spans="1:23" hidden="1" x14ac:dyDescent="0.25">
      <c r="A363" s="1" t="s">
        <v>684</v>
      </c>
      <c r="B363" s="1" t="s">
        <v>685</v>
      </c>
      <c r="C363" s="1" t="s">
        <v>19</v>
      </c>
      <c r="D363" s="1">
        <v>30611884024</v>
      </c>
      <c r="E363" s="1" t="s">
        <v>20</v>
      </c>
      <c r="F363" s="1" t="s">
        <v>403</v>
      </c>
      <c r="G363" s="1" t="s">
        <v>53</v>
      </c>
      <c r="H363" s="1" t="s">
        <v>54</v>
      </c>
      <c r="I363" s="1" t="s">
        <v>686</v>
      </c>
      <c r="J363" s="2">
        <v>21</v>
      </c>
      <c r="K363" s="12">
        <v>1534969.89</v>
      </c>
      <c r="L363" s="2">
        <v>1268570.1599999999</v>
      </c>
      <c r="M363" s="2">
        <v>0</v>
      </c>
      <c r="N363" s="12">
        <v>266399.73</v>
      </c>
      <c r="O363" s="2">
        <v>0</v>
      </c>
      <c r="P363" s="2">
        <v>0</v>
      </c>
      <c r="Q363" s="2">
        <v>0</v>
      </c>
      <c r="R363" s="2">
        <v>0</v>
      </c>
      <c r="S363" s="8" t="str">
        <f t="shared" si="15"/>
        <v>30611884024000400012006</v>
      </c>
      <c r="T363" s="14">
        <f>IFERROR(VLOOKUP(S363,AFIP!$F$2:$R$999999,12,FALSE),"NO")</f>
        <v>266399.73</v>
      </c>
      <c r="U363" s="10" t="str">
        <f t="shared" si="16"/>
        <v>SI</v>
      </c>
      <c r="V363" s="10">
        <f>IFERROR(VLOOKUP(S363,AFIP!$F$2:$R$999999,13,FALSE),"NO")</f>
        <v>1534969.89</v>
      </c>
      <c r="W363" s="1" t="str">
        <f t="shared" si="17"/>
        <v>SI</v>
      </c>
    </row>
    <row r="364" spans="1:23" hidden="1" x14ac:dyDescent="0.25">
      <c r="A364" s="1" t="s">
        <v>76</v>
      </c>
      <c r="B364" s="1" t="s">
        <v>77</v>
      </c>
      <c r="C364" s="1" t="s">
        <v>19</v>
      </c>
      <c r="D364" s="1">
        <v>20128307746</v>
      </c>
      <c r="E364" s="1" t="s">
        <v>20</v>
      </c>
      <c r="F364" s="1" t="s">
        <v>403</v>
      </c>
      <c r="G364" s="1" t="s">
        <v>53</v>
      </c>
      <c r="H364" s="1" t="s">
        <v>54</v>
      </c>
      <c r="I364" s="1" t="s">
        <v>687</v>
      </c>
      <c r="J364" s="2">
        <v>10.5</v>
      </c>
      <c r="K364" s="12">
        <v>64891.13</v>
      </c>
      <c r="L364" s="2">
        <v>58725</v>
      </c>
      <c r="M364" s="2">
        <v>0</v>
      </c>
      <c r="N364" s="12">
        <v>6166.13</v>
      </c>
      <c r="O364" s="2">
        <v>0</v>
      </c>
      <c r="P364" s="2">
        <v>0</v>
      </c>
      <c r="Q364" s="2">
        <v>0</v>
      </c>
      <c r="R364" s="2">
        <v>0</v>
      </c>
      <c r="S364" s="8" t="str">
        <f t="shared" si="15"/>
        <v>20128307746000400024295</v>
      </c>
      <c r="T364" s="14">
        <f>IFERROR(VLOOKUP(S364,AFIP!$F$2:$R$999999,12,FALSE),"NO")</f>
        <v>6166.13</v>
      </c>
      <c r="U364" s="10" t="str">
        <f t="shared" si="16"/>
        <v>SI</v>
      </c>
      <c r="V364" s="10">
        <f>IFERROR(VLOOKUP(S364,AFIP!$F$2:$R$999999,13,FALSE),"NO")</f>
        <v>64891.13</v>
      </c>
      <c r="W364" s="1" t="str">
        <f t="shared" si="17"/>
        <v>SI</v>
      </c>
    </row>
    <row r="365" spans="1:23" hidden="1" x14ac:dyDescent="0.25">
      <c r="A365" s="1" t="s">
        <v>239</v>
      </c>
      <c r="B365" s="1" t="s">
        <v>225</v>
      </c>
      <c r="C365" s="1" t="s">
        <v>19</v>
      </c>
      <c r="D365" s="1">
        <v>27221445908</v>
      </c>
      <c r="E365" s="1" t="s">
        <v>20</v>
      </c>
      <c r="F365" s="1" t="s">
        <v>403</v>
      </c>
      <c r="G365" s="1" t="s">
        <v>53</v>
      </c>
      <c r="H365" s="1" t="s">
        <v>54</v>
      </c>
      <c r="I365" s="1" t="s">
        <v>688</v>
      </c>
      <c r="J365" s="2">
        <v>21</v>
      </c>
      <c r="K365" s="12">
        <v>2490000</v>
      </c>
      <c r="L365" s="2">
        <v>2057851.24</v>
      </c>
      <c r="M365" s="2">
        <v>0</v>
      </c>
      <c r="N365" s="12">
        <v>432148.76</v>
      </c>
      <c r="O365" s="2">
        <v>0</v>
      </c>
      <c r="P365" s="2">
        <v>0</v>
      </c>
      <c r="Q365" s="2">
        <v>0</v>
      </c>
      <c r="R365" s="2">
        <v>0</v>
      </c>
      <c r="S365" s="8" t="str">
        <f t="shared" si="15"/>
        <v>27221445908000500001115</v>
      </c>
      <c r="T365" s="14">
        <f>IFERROR(VLOOKUP(S365,AFIP!$F$2:$R$999999,12,FALSE),"NO")</f>
        <v>432148.76</v>
      </c>
      <c r="U365" s="10" t="str">
        <f t="shared" si="16"/>
        <v>SI</v>
      </c>
      <c r="V365" s="10">
        <f>IFERROR(VLOOKUP(S365,AFIP!$F$2:$R$999999,13,FALSE),"NO")</f>
        <v>2490000</v>
      </c>
      <c r="W365" s="1" t="str">
        <f t="shared" si="17"/>
        <v>SI</v>
      </c>
    </row>
    <row r="366" spans="1:23" x14ac:dyDescent="0.25">
      <c r="A366" s="1" t="s">
        <v>97</v>
      </c>
      <c r="B366" s="1" t="s">
        <v>98</v>
      </c>
      <c r="C366" s="1" t="s">
        <v>19</v>
      </c>
      <c r="D366" s="1">
        <v>30545788167</v>
      </c>
      <c r="E366" s="1" t="s">
        <v>20</v>
      </c>
      <c r="F366" s="1" t="s">
        <v>403</v>
      </c>
      <c r="G366" s="1" t="s">
        <v>53</v>
      </c>
      <c r="H366" s="1" t="s">
        <v>54</v>
      </c>
      <c r="I366" s="1" t="s">
        <v>1121</v>
      </c>
      <c r="J366" s="2">
        <v>27</v>
      </c>
      <c r="K366" s="12">
        <v>244154.64</v>
      </c>
      <c r="L366" s="2">
        <v>187811.26</v>
      </c>
      <c r="M366" s="2">
        <v>0</v>
      </c>
      <c r="N366" s="12">
        <v>50709.04</v>
      </c>
      <c r="O366" s="2">
        <v>5634.34</v>
      </c>
      <c r="P366" s="2">
        <v>0</v>
      </c>
      <c r="Q366" s="2">
        <v>0</v>
      </c>
      <c r="R366" s="2">
        <v>0</v>
      </c>
      <c r="S366" s="8" t="str">
        <f t="shared" si="15"/>
        <v>30545788167000505237454</v>
      </c>
      <c r="T366" s="14" t="str">
        <f>IFERROR(VLOOKUP(S366,AFIP!$F$2:$R$999999,12,FALSE),"NO")</f>
        <v>NO</v>
      </c>
      <c r="U366" s="10" t="str">
        <f t="shared" si="16"/>
        <v>NO</v>
      </c>
      <c r="V366" s="10" t="str">
        <f>IFERROR(VLOOKUP(S366,AFIP!$F$2:$R$999999,13,FALSE),"NO")</f>
        <v>NO</v>
      </c>
      <c r="W366" s="1" t="str">
        <f t="shared" si="17"/>
        <v>NO</v>
      </c>
    </row>
    <row r="367" spans="1:23" x14ac:dyDescent="0.25">
      <c r="A367" s="1" t="s">
        <v>97</v>
      </c>
      <c r="B367" s="1" t="s">
        <v>98</v>
      </c>
      <c r="C367" s="1" t="s">
        <v>19</v>
      </c>
      <c r="D367" s="1">
        <v>30545788167</v>
      </c>
      <c r="E367" s="1" t="s">
        <v>20</v>
      </c>
      <c r="F367" s="1" t="s">
        <v>403</v>
      </c>
      <c r="G367" s="1" t="s">
        <v>53</v>
      </c>
      <c r="H367" s="1" t="s">
        <v>54</v>
      </c>
      <c r="I367" s="1" t="s">
        <v>1121</v>
      </c>
      <c r="J367" s="2">
        <v>0</v>
      </c>
      <c r="K367" s="12">
        <v>14392.19</v>
      </c>
      <c r="L367" s="2">
        <v>0</v>
      </c>
      <c r="M367" s="2">
        <v>14392.19</v>
      </c>
      <c r="N367" s="12">
        <v>0</v>
      </c>
      <c r="O367" s="2">
        <v>0</v>
      </c>
      <c r="P367" s="2">
        <v>0</v>
      </c>
      <c r="Q367" s="2">
        <v>0</v>
      </c>
      <c r="R367" s="2">
        <v>0</v>
      </c>
      <c r="S367" s="8" t="str">
        <f t="shared" si="15"/>
        <v>30545788167000505237454</v>
      </c>
      <c r="T367" s="14" t="str">
        <f>IFERROR(VLOOKUP(S367,AFIP!$F$2:$R$999999,12,FALSE),"NO")</f>
        <v>NO</v>
      </c>
      <c r="U367" s="10" t="str">
        <f t="shared" si="16"/>
        <v>NO</v>
      </c>
      <c r="V367" s="10" t="str">
        <f>IFERROR(VLOOKUP(S367,AFIP!$F$2:$R$999999,13,FALSE),"NO")</f>
        <v>NO</v>
      </c>
      <c r="W367" s="1" t="str">
        <f t="shared" si="17"/>
        <v>NO</v>
      </c>
    </row>
    <row r="368" spans="1:23" x14ac:dyDescent="0.25">
      <c r="A368" s="1" t="s">
        <v>97</v>
      </c>
      <c r="B368" s="1" t="s">
        <v>98</v>
      </c>
      <c r="C368" s="1" t="s">
        <v>19</v>
      </c>
      <c r="D368" s="1">
        <v>30545788167</v>
      </c>
      <c r="E368" s="1" t="s">
        <v>20</v>
      </c>
      <c r="F368" s="1" t="s">
        <v>403</v>
      </c>
      <c r="G368" s="1" t="s">
        <v>53</v>
      </c>
      <c r="H368" s="1" t="s">
        <v>54</v>
      </c>
      <c r="I368" s="1" t="s">
        <v>1122</v>
      </c>
      <c r="J368" s="2">
        <v>27</v>
      </c>
      <c r="K368" s="12">
        <v>282390.82</v>
      </c>
      <c r="L368" s="2">
        <v>217223.71</v>
      </c>
      <c r="M368" s="2">
        <v>0</v>
      </c>
      <c r="N368" s="12">
        <v>58650.400000000001</v>
      </c>
      <c r="O368" s="2">
        <v>6516.71</v>
      </c>
      <c r="P368" s="2">
        <v>0</v>
      </c>
      <c r="Q368" s="2">
        <v>0</v>
      </c>
      <c r="R368" s="2">
        <v>0</v>
      </c>
      <c r="S368" s="8" t="str">
        <f t="shared" si="15"/>
        <v>30545788167000505237906</v>
      </c>
      <c r="T368" s="14" t="str">
        <f>IFERROR(VLOOKUP(S368,AFIP!$F$2:$R$999999,12,FALSE),"NO")</f>
        <v>NO</v>
      </c>
      <c r="U368" s="10" t="str">
        <f t="shared" si="16"/>
        <v>NO</v>
      </c>
      <c r="V368" s="10" t="str">
        <f>IFERROR(VLOOKUP(S368,AFIP!$F$2:$R$999999,13,FALSE),"NO")</f>
        <v>NO</v>
      </c>
      <c r="W368" s="1" t="str">
        <f t="shared" si="17"/>
        <v>NO</v>
      </c>
    </row>
    <row r="369" spans="1:23" x14ac:dyDescent="0.25">
      <c r="A369" s="1" t="s">
        <v>97</v>
      </c>
      <c r="B369" s="1" t="s">
        <v>98</v>
      </c>
      <c r="C369" s="1" t="s">
        <v>19</v>
      </c>
      <c r="D369" s="1">
        <v>30545788167</v>
      </c>
      <c r="E369" s="1" t="s">
        <v>20</v>
      </c>
      <c r="F369" s="1" t="s">
        <v>403</v>
      </c>
      <c r="G369" s="1" t="s">
        <v>53</v>
      </c>
      <c r="H369" s="1" t="s">
        <v>54</v>
      </c>
      <c r="I369" s="1" t="s">
        <v>1122</v>
      </c>
      <c r="J369" s="2">
        <v>0</v>
      </c>
      <c r="K369" s="12">
        <v>16598.12</v>
      </c>
      <c r="L369" s="2">
        <v>0</v>
      </c>
      <c r="M369" s="2">
        <v>16598.12</v>
      </c>
      <c r="N369" s="12">
        <v>0</v>
      </c>
      <c r="O369" s="2">
        <v>0</v>
      </c>
      <c r="P369" s="2">
        <v>0</v>
      </c>
      <c r="Q369" s="2">
        <v>0</v>
      </c>
      <c r="R369" s="2">
        <v>0</v>
      </c>
      <c r="S369" s="8" t="str">
        <f t="shared" si="15"/>
        <v>30545788167000505237906</v>
      </c>
      <c r="T369" s="14" t="str">
        <f>IFERROR(VLOOKUP(S369,AFIP!$F$2:$R$999999,12,FALSE),"NO")</f>
        <v>NO</v>
      </c>
      <c r="U369" s="10" t="str">
        <f t="shared" si="16"/>
        <v>NO</v>
      </c>
      <c r="V369" s="10" t="str">
        <f>IFERROR(VLOOKUP(S369,AFIP!$F$2:$R$999999,13,FALSE),"NO")</f>
        <v>NO</v>
      </c>
      <c r="W369" s="1" t="str">
        <f t="shared" si="17"/>
        <v>NO</v>
      </c>
    </row>
    <row r="370" spans="1:23" x14ac:dyDescent="0.25">
      <c r="A370" s="1" t="s">
        <v>123</v>
      </c>
      <c r="B370" s="1" t="s">
        <v>124</v>
      </c>
      <c r="C370" s="1" t="s">
        <v>19</v>
      </c>
      <c r="D370" s="1">
        <v>30999027489</v>
      </c>
      <c r="E370" s="1" t="s">
        <v>20</v>
      </c>
      <c r="F370" s="1" t="s">
        <v>403</v>
      </c>
      <c r="G370" s="1" t="s">
        <v>53</v>
      </c>
      <c r="H370" s="1" t="s">
        <v>54</v>
      </c>
      <c r="I370" s="1" t="s">
        <v>689</v>
      </c>
      <c r="J370" s="2">
        <v>27</v>
      </c>
      <c r="K370" s="12">
        <v>219693.07</v>
      </c>
      <c r="L370" s="2">
        <v>168994.67</v>
      </c>
      <c r="M370" s="2">
        <v>0</v>
      </c>
      <c r="N370" s="12">
        <v>45628.56</v>
      </c>
      <c r="O370" s="2">
        <v>5069.84</v>
      </c>
      <c r="P370" s="2">
        <v>0</v>
      </c>
      <c r="Q370" s="2">
        <v>0</v>
      </c>
      <c r="R370" s="2">
        <v>0</v>
      </c>
      <c r="S370" s="8" t="str">
        <f t="shared" si="15"/>
        <v>30999027489000700254451</v>
      </c>
      <c r="T370" s="14" t="str">
        <f>IFERROR(VLOOKUP(S370,AFIP!$F$2:$R$999999,12,FALSE),"NO")</f>
        <v>NO</v>
      </c>
      <c r="U370" s="10" t="str">
        <f t="shared" si="16"/>
        <v>NO</v>
      </c>
      <c r="V370" s="10" t="str">
        <f>IFERROR(VLOOKUP(S370,AFIP!$F$2:$R$999999,13,FALSE),"NO")</f>
        <v>NO</v>
      </c>
      <c r="W370" s="1" t="str">
        <f t="shared" si="17"/>
        <v>NO</v>
      </c>
    </row>
    <row r="371" spans="1:23" x14ac:dyDescent="0.25">
      <c r="A371" s="1" t="s">
        <v>123</v>
      </c>
      <c r="B371" s="1" t="s">
        <v>124</v>
      </c>
      <c r="C371" s="1" t="s">
        <v>19</v>
      </c>
      <c r="D371" s="1">
        <v>30999027489</v>
      </c>
      <c r="E371" s="1" t="s">
        <v>20</v>
      </c>
      <c r="F371" s="1" t="s">
        <v>403</v>
      </c>
      <c r="G371" s="1" t="s">
        <v>53</v>
      </c>
      <c r="H371" s="1" t="s">
        <v>54</v>
      </c>
      <c r="I371" s="1" t="s">
        <v>689</v>
      </c>
      <c r="J371" s="2">
        <v>0</v>
      </c>
      <c r="K371" s="12">
        <v>34643.93</v>
      </c>
      <c r="L371" s="2">
        <v>0</v>
      </c>
      <c r="M371" s="2">
        <v>34643.93</v>
      </c>
      <c r="N371" s="12">
        <v>0</v>
      </c>
      <c r="O371" s="2">
        <v>0</v>
      </c>
      <c r="P371" s="2">
        <v>0</v>
      </c>
      <c r="Q371" s="2">
        <v>0</v>
      </c>
      <c r="R371" s="2">
        <v>0</v>
      </c>
      <c r="S371" s="8" t="str">
        <f t="shared" si="15"/>
        <v>30999027489000700254451</v>
      </c>
      <c r="T371" s="14" t="str">
        <f>IFERROR(VLOOKUP(S371,AFIP!$F$2:$R$999999,12,FALSE),"NO")</f>
        <v>NO</v>
      </c>
      <c r="U371" s="10" t="str">
        <f t="shared" si="16"/>
        <v>NO</v>
      </c>
      <c r="V371" s="10" t="str">
        <f>IFERROR(VLOOKUP(S371,AFIP!$F$2:$R$999999,13,FALSE),"NO")</f>
        <v>NO</v>
      </c>
      <c r="W371" s="1" t="str">
        <f t="shared" si="17"/>
        <v>NO</v>
      </c>
    </row>
    <row r="372" spans="1:23" x14ac:dyDescent="0.25">
      <c r="A372" s="1" t="s">
        <v>123</v>
      </c>
      <c r="B372" s="1" t="s">
        <v>124</v>
      </c>
      <c r="C372" s="1" t="s">
        <v>19</v>
      </c>
      <c r="D372" s="1">
        <v>30999027489</v>
      </c>
      <c r="E372" s="1" t="s">
        <v>20</v>
      </c>
      <c r="F372" s="1" t="s">
        <v>403</v>
      </c>
      <c r="G372" s="1" t="s">
        <v>53</v>
      </c>
      <c r="H372" s="1" t="s">
        <v>54</v>
      </c>
      <c r="I372" s="1" t="s">
        <v>690</v>
      </c>
      <c r="J372" s="2">
        <v>27</v>
      </c>
      <c r="K372" s="12">
        <v>214880.52</v>
      </c>
      <c r="L372" s="2">
        <v>165292.71</v>
      </c>
      <c r="M372" s="2">
        <v>0</v>
      </c>
      <c r="N372" s="12">
        <v>44629.03</v>
      </c>
      <c r="O372" s="2">
        <v>4958.78</v>
      </c>
      <c r="P372" s="2">
        <v>0</v>
      </c>
      <c r="Q372" s="2">
        <v>0</v>
      </c>
      <c r="R372" s="2">
        <v>0</v>
      </c>
      <c r="S372" s="8" t="str">
        <f t="shared" si="15"/>
        <v>30999027489000700258497</v>
      </c>
      <c r="T372" s="14" t="str">
        <f>IFERROR(VLOOKUP(S372,AFIP!$F$2:$R$999999,12,FALSE),"NO")</f>
        <v>NO</v>
      </c>
      <c r="U372" s="10" t="str">
        <f t="shared" si="16"/>
        <v>NO</v>
      </c>
      <c r="V372" s="10" t="str">
        <f>IFERROR(VLOOKUP(S372,AFIP!$F$2:$R$999999,13,FALSE),"NO")</f>
        <v>NO</v>
      </c>
      <c r="W372" s="1" t="str">
        <f t="shared" si="17"/>
        <v>NO</v>
      </c>
    </row>
    <row r="373" spans="1:23" x14ac:dyDescent="0.25">
      <c r="A373" s="1" t="s">
        <v>123</v>
      </c>
      <c r="B373" s="1" t="s">
        <v>124</v>
      </c>
      <c r="C373" s="1" t="s">
        <v>19</v>
      </c>
      <c r="D373" s="1">
        <v>30999027489</v>
      </c>
      <c r="E373" s="1" t="s">
        <v>20</v>
      </c>
      <c r="F373" s="1" t="s">
        <v>403</v>
      </c>
      <c r="G373" s="1" t="s">
        <v>53</v>
      </c>
      <c r="H373" s="1" t="s">
        <v>54</v>
      </c>
      <c r="I373" s="1" t="s">
        <v>690</v>
      </c>
      <c r="J373" s="2">
        <v>0</v>
      </c>
      <c r="K373" s="12">
        <v>33884.980000000003</v>
      </c>
      <c r="L373" s="2">
        <v>0</v>
      </c>
      <c r="M373" s="2">
        <v>33884.980000000003</v>
      </c>
      <c r="N373" s="12">
        <v>0</v>
      </c>
      <c r="O373" s="2">
        <v>0</v>
      </c>
      <c r="P373" s="2">
        <v>0</v>
      </c>
      <c r="Q373" s="2">
        <v>0</v>
      </c>
      <c r="R373" s="2">
        <v>0</v>
      </c>
      <c r="S373" s="8" t="str">
        <f t="shared" si="15"/>
        <v>30999027489000700258497</v>
      </c>
      <c r="T373" s="14" t="str">
        <f>IFERROR(VLOOKUP(S373,AFIP!$F$2:$R$999999,12,FALSE),"NO")</f>
        <v>NO</v>
      </c>
      <c r="U373" s="10" t="str">
        <f t="shared" si="16"/>
        <v>NO</v>
      </c>
      <c r="V373" s="10" t="str">
        <f>IFERROR(VLOOKUP(S373,AFIP!$F$2:$R$999999,13,FALSE),"NO")</f>
        <v>NO</v>
      </c>
      <c r="W373" s="1" t="str">
        <f t="shared" si="17"/>
        <v>NO</v>
      </c>
    </row>
    <row r="374" spans="1:23" hidden="1" x14ac:dyDescent="0.25">
      <c r="A374" s="1" t="s">
        <v>27</v>
      </c>
      <c r="B374" s="1" t="s">
        <v>28</v>
      </c>
      <c r="C374" s="1" t="s">
        <v>19</v>
      </c>
      <c r="D374" s="1">
        <v>30501044551</v>
      </c>
      <c r="E374" s="1" t="s">
        <v>20</v>
      </c>
      <c r="F374" s="1" t="s">
        <v>403</v>
      </c>
      <c r="G374" s="1" t="s">
        <v>53</v>
      </c>
      <c r="H374" s="1" t="s">
        <v>54</v>
      </c>
      <c r="I374" s="1" t="s">
        <v>691</v>
      </c>
      <c r="J374" s="2">
        <v>21</v>
      </c>
      <c r="K374" s="12">
        <v>456169.93</v>
      </c>
      <c r="L374" s="2">
        <v>360608.64</v>
      </c>
      <c r="M374" s="2">
        <v>0</v>
      </c>
      <c r="N374" s="12">
        <v>75727.81</v>
      </c>
      <c r="O374" s="2">
        <v>10818.26</v>
      </c>
      <c r="P374" s="2">
        <v>9015.2199999999993</v>
      </c>
      <c r="Q374" s="2">
        <v>0</v>
      </c>
      <c r="R374" s="2">
        <v>0</v>
      </c>
      <c r="S374" s="8" t="str">
        <f t="shared" si="15"/>
        <v>30501044551000700567778</v>
      </c>
      <c r="T374" s="14">
        <f>IFERROR(VLOOKUP(S374,AFIP!$F$2:$R$999999,12,FALSE),"NO")</f>
        <v>75727.81</v>
      </c>
      <c r="U374" s="10" t="str">
        <f t="shared" si="16"/>
        <v>SI</v>
      </c>
      <c r="V374" s="10">
        <f>IFERROR(VLOOKUP(S374,AFIP!$F$2:$R$999999,13,FALSE),"NO")</f>
        <v>456169.93</v>
      </c>
      <c r="W374" s="1" t="str">
        <f t="shared" si="17"/>
        <v>SI</v>
      </c>
    </row>
    <row r="375" spans="1:23" hidden="1" x14ac:dyDescent="0.25">
      <c r="A375" s="1" t="s">
        <v>133</v>
      </c>
      <c r="B375" s="1" t="s">
        <v>134</v>
      </c>
      <c r="C375" s="1" t="s">
        <v>19</v>
      </c>
      <c r="D375" s="1">
        <v>30682681108</v>
      </c>
      <c r="E375" s="1" t="s">
        <v>20</v>
      </c>
      <c r="F375" s="1" t="s">
        <v>403</v>
      </c>
      <c r="G375" s="1" t="s">
        <v>53</v>
      </c>
      <c r="H375" s="1" t="s">
        <v>54</v>
      </c>
      <c r="I375" s="1" t="s">
        <v>692</v>
      </c>
      <c r="J375" s="2">
        <v>21</v>
      </c>
      <c r="K375" s="12">
        <v>4759380.3</v>
      </c>
      <c r="L375" s="2">
        <v>3933352.07</v>
      </c>
      <c r="M375" s="2">
        <v>0</v>
      </c>
      <c r="N375" s="12">
        <v>826010.94</v>
      </c>
      <c r="O375" s="2">
        <v>0</v>
      </c>
      <c r="P375" s="2">
        <v>0</v>
      </c>
      <c r="Q375" s="2">
        <v>17.29</v>
      </c>
      <c r="R375" s="2">
        <v>0</v>
      </c>
      <c r="S375" s="8" t="str">
        <f t="shared" si="15"/>
        <v>30682681108001000016774</v>
      </c>
      <c r="T375" s="14">
        <f>IFERROR(VLOOKUP(S375,AFIP!$F$2:$R$999999,12,FALSE),"NO")</f>
        <v>587.49</v>
      </c>
      <c r="U375" s="10" t="str">
        <f t="shared" si="16"/>
        <v>NO</v>
      </c>
      <c r="V375" s="10">
        <f>IFERROR(VLOOKUP(S375,AFIP!$F$2:$R$999999,13,FALSE),"NO")</f>
        <v>3385.07</v>
      </c>
      <c r="W375" s="1" t="str">
        <f t="shared" si="17"/>
        <v>NO</v>
      </c>
    </row>
    <row r="376" spans="1:23" hidden="1" x14ac:dyDescent="0.25">
      <c r="A376" s="1" t="s">
        <v>133</v>
      </c>
      <c r="B376" s="1" t="s">
        <v>134</v>
      </c>
      <c r="C376" s="1" t="s">
        <v>19</v>
      </c>
      <c r="D376" s="1">
        <v>30682681108</v>
      </c>
      <c r="E376" s="1" t="s">
        <v>20</v>
      </c>
      <c r="F376" s="1" t="s">
        <v>403</v>
      </c>
      <c r="G376" s="1" t="s">
        <v>53</v>
      </c>
      <c r="H376" s="1" t="s">
        <v>54</v>
      </c>
      <c r="I376" s="1" t="s">
        <v>693</v>
      </c>
      <c r="J376" s="2">
        <v>21</v>
      </c>
      <c r="K376" s="12">
        <v>111664.52</v>
      </c>
      <c r="L376" s="2">
        <v>92293.36</v>
      </c>
      <c r="M376" s="2">
        <v>0</v>
      </c>
      <c r="N376" s="12">
        <v>19374.68</v>
      </c>
      <c r="O376" s="2">
        <v>0</v>
      </c>
      <c r="P376" s="2">
        <v>0</v>
      </c>
      <c r="Q376" s="2">
        <v>-3.52</v>
      </c>
      <c r="R376" s="2">
        <v>0</v>
      </c>
      <c r="S376" s="8" t="str">
        <f t="shared" si="15"/>
        <v>30682681108001000016777</v>
      </c>
      <c r="T376" s="14">
        <f>IFERROR(VLOOKUP(S376,AFIP!$F$2:$R$999999,12,FALSE),"NO")</f>
        <v>13.78</v>
      </c>
      <c r="U376" s="10" t="str">
        <f t="shared" si="16"/>
        <v>NO</v>
      </c>
      <c r="V376" s="10">
        <f>IFERROR(VLOOKUP(S376,AFIP!$F$2:$R$999999,13,FALSE),"NO")</f>
        <v>79.42</v>
      </c>
      <c r="W376" s="1" t="str">
        <f t="shared" si="17"/>
        <v>NO</v>
      </c>
    </row>
    <row r="377" spans="1:23" hidden="1" x14ac:dyDescent="0.25">
      <c r="A377" s="1" t="s">
        <v>91</v>
      </c>
      <c r="B377" s="1" t="s">
        <v>92</v>
      </c>
      <c r="C377" s="1" t="s">
        <v>19</v>
      </c>
      <c r="D377" s="1">
        <v>30601652044</v>
      </c>
      <c r="E377" s="1" t="s">
        <v>20</v>
      </c>
      <c r="F377" s="1" t="s">
        <v>403</v>
      </c>
      <c r="G377" s="1" t="s">
        <v>53</v>
      </c>
      <c r="H377" s="1" t="s">
        <v>54</v>
      </c>
      <c r="I377" s="1" t="s">
        <v>1123</v>
      </c>
      <c r="J377" s="2">
        <v>21</v>
      </c>
      <c r="K377" s="12">
        <v>119451.26</v>
      </c>
      <c r="L377" s="2">
        <v>98720.05</v>
      </c>
      <c r="M377" s="2">
        <v>0</v>
      </c>
      <c r="N377" s="12">
        <v>20731.21</v>
      </c>
      <c r="O377" s="2">
        <v>0</v>
      </c>
      <c r="P377" s="2">
        <v>0</v>
      </c>
      <c r="Q377" s="2">
        <v>0</v>
      </c>
      <c r="R377" s="2">
        <v>0</v>
      </c>
      <c r="S377" s="8" t="str">
        <f t="shared" si="15"/>
        <v>30601652044001900003800</v>
      </c>
      <c r="T377" s="14">
        <f>IFERROR(VLOOKUP(S377,AFIP!$F$2:$R$999999,12,FALSE),"NO")</f>
        <v>22258.560000000001</v>
      </c>
      <c r="U377" s="10" t="str">
        <f t="shared" si="16"/>
        <v>NO</v>
      </c>
      <c r="V377" s="10">
        <f>IFERROR(VLOOKUP(S377,AFIP!$F$2:$R$999999,13,FALSE),"NO")</f>
        <v>135524.82999999999</v>
      </c>
      <c r="W377" s="1" t="str">
        <f t="shared" si="17"/>
        <v>NO</v>
      </c>
    </row>
    <row r="378" spans="1:23" hidden="1" x14ac:dyDescent="0.25">
      <c r="A378" s="1" t="s">
        <v>91</v>
      </c>
      <c r="B378" s="1" t="s">
        <v>92</v>
      </c>
      <c r="C378" s="1" t="s">
        <v>19</v>
      </c>
      <c r="D378" s="1">
        <v>30601652044</v>
      </c>
      <c r="E378" s="1" t="s">
        <v>20</v>
      </c>
      <c r="F378" s="1" t="s">
        <v>403</v>
      </c>
      <c r="G378" s="1" t="s">
        <v>53</v>
      </c>
      <c r="H378" s="1" t="s">
        <v>54</v>
      </c>
      <c r="I378" s="1" t="s">
        <v>1123</v>
      </c>
      <c r="J378" s="2">
        <v>10.5</v>
      </c>
      <c r="K378" s="12">
        <v>16073.57</v>
      </c>
      <c r="L378" s="2">
        <v>14546.22</v>
      </c>
      <c r="M378" s="2">
        <v>0</v>
      </c>
      <c r="N378" s="12">
        <v>1527.35</v>
      </c>
      <c r="O378" s="2">
        <v>0</v>
      </c>
      <c r="P378" s="2">
        <v>0</v>
      </c>
      <c r="Q378" s="2">
        <v>0</v>
      </c>
      <c r="R378" s="2">
        <v>0</v>
      </c>
      <c r="S378" s="8" t="str">
        <f t="shared" si="15"/>
        <v>30601652044001900003800</v>
      </c>
      <c r="T378" s="14">
        <f>IFERROR(VLOOKUP(S378,AFIP!$F$2:$R$999999,12,FALSE),"NO")</f>
        <v>22258.560000000001</v>
      </c>
      <c r="U378" s="10" t="str">
        <f t="shared" si="16"/>
        <v>NO</v>
      </c>
      <c r="V378" s="10">
        <f>IFERROR(VLOOKUP(S378,AFIP!$F$2:$R$999999,13,FALSE),"NO")</f>
        <v>135524.82999999999</v>
      </c>
      <c r="W378" s="1" t="str">
        <f t="shared" si="17"/>
        <v>NO</v>
      </c>
    </row>
    <row r="379" spans="1:23" hidden="1" x14ac:dyDescent="0.25">
      <c r="A379" s="1" t="s">
        <v>1051</v>
      </c>
      <c r="B379" s="1" t="s">
        <v>1052</v>
      </c>
      <c r="C379" s="1" t="s">
        <v>19</v>
      </c>
      <c r="D379" s="1">
        <v>30530197413</v>
      </c>
      <c r="E379" s="1" t="s">
        <v>20</v>
      </c>
      <c r="F379" s="1" t="s">
        <v>403</v>
      </c>
      <c r="G379" s="1" t="s">
        <v>53</v>
      </c>
      <c r="H379" s="1" t="s">
        <v>54</v>
      </c>
      <c r="I379" s="1" t="s">
        <v>1124</v>
      </c>
      <c r="J379" s="2">
        <v>21</v>
      </c>
      <c r="K379" s="12">
        <v>11400</v>
      </c>
      <c r="L379" s="2">
        <v>9421.49</v>
      </c>
      <c r="M379" s="2">
        <v>0</v>
      </c>
      <c r="N379" s="12">
        <v>1978.51</v>
      </c>
      <c r="O379" s="2">
        <v>0</v>
      </c>
      <c r="P379" s="2">
        <v>0</v>
      </c>
      <c r="Q379" s="2">
        <v>0</v>
      </c>
      <c r="R379" s="2">
        <v>0</v>
      </c>
      <c r="S379" s="8" t="str">
        <f t="shared" si="15"/>
        <v>30530197413002100016745</v>
      </c>
      <c r="T379" s="14">
        <f>IFERROR(VLOOKUP(S379,AFIP!$F$2:$R$999999,12,FALSE),"NO")</f>
        <v>1978.51</v>
      </c>
      <c r="U379" s="10" t="str">
        <f t="shared" si="16"/>
        <v>SI</v>
      </c>
      <c r="V379" s="10">
        <f>IFERROR(VLOOKUP(S379,AFIP!$F$2:$R$999999,13,FALSE),"NO")</f>
        <v>11400</v>
      </c>
      <c r="W379" s="1" t="str">
        <f t="shared" si="17"/>
        <v>SI</v>
      </c>
    </row>
    <row r="380" spans="1:23" hidden="1" x14ac:dyDescent="0.25">
      <c r="A380" s="1" t="s">
        <v>1090</v>
      </c>
      <c r="B380" s="1" t="s">
        <v>1091</v>
      </c>
      <c r="C380" s="1" t="s">
        <v>19</v>
      </c>
      <c r="D380" s="1">
        <v>30543035064</v>
      </c>
      <c r="E380" s="1" t="s">
        <v>20</v>
      </c>
      <c r="F380" s="1" t="s">
        <v>403</v>
      </c>
      <c r="G380" s="1" t="s">
        <v>53</v>
      </c>
      <c r="H380" s="1" t="s">
        <v>54</v>
      </c>
      <c r="I380" s="1" t="s">
        <v>1125</v>
      </c>
      <c r="J380" s="2">
        <v>21</v>
      </c>
      <c r="K380" s="12">
        <v>132267.18</v>
      </c>
      <c r="L380" s="2">
        <v>109311.72</v>
      </c>
      <c r="M380" s="2">
        <v>0</v>
      </c>
      <c r="N380" s="12">
        <v>22955.46</v>
      </c>
      <c r="O380" s="2">
        <v>0</v>
      </c>
      <c r="P380" s="2">
        <v>0</v>
      </c>
      <c r="Q380" s="2">
        <v>0</v>
      </c>
      <c r="R380" s="2">
        <v>0</v>
      </c>
      <c r="S380" s="8" t="str">
        <f t="shared" si="15"/>
        <v>30543035064002300043009</v>
      </c>
      <c r="T380" s="14">
        <f>IFERROR(VLOOKUP(S380,AFIP!$F$2:$R$999999,12,FALSE),"NO")</f>
        <v>22955.46</v>
      </c>
      <c r="U380" s="10" t="str">
        <f t="shared" si="16"/>
        <v>SI</v>
      </c>
      <c r="V380" s="10">
        <f>IFERROR(VLOOKUP(S380,AFIP!$F$2:$R$999999,13,FALSE),"NO")</f>
        <v>149999.94</v>
      </c>
      <c r="W380" s="1" t="str">
        <f t="shared" si="17"/>
        <v>NO</v>
      </c>
    </row>
    <row r="381" spans="1:23" hidden="1" x14ac:dyDescent="0.25">
      <c r="A381" s="1" t="s">
        <v>1090</v>
      </c>
      <c r="B381" s="1" t="s">
        <v>1091</v>
      </c>
      <c r="C381" s="1" t="s">
        <v>19</v>
      </c>
      <c r="D381" s="1">
        <v>30543035064</v>
      </c>
      <c r="E381" s="1" t="s">
        <v>20</v>
      </c>
      <c r="F381" s="1" t="s">
        <v>403</v>
      </c>
      <c r="G381" s="1" t="s">
        <v>53</v>
      </c>
      <c r="H381" s="1" t="s">
        <v>54</v>
      </c>
      <c r="I381" s="1" t="s">
        <v>1125</v>
      </c>
      <c r="J381" s="2">
        <v>0</v>
      </c>
      <c r="K381" s="12">
        <v>17732.75</v>
      </c>
      <c r="L381" s="2">
        <v>0</v>
      </c>
      <c r="M381" s="2">
        <v>17732.75</v>
      </c>
      <c r="N381" s="12">
        <v>0</v>
      </c>
      <c r="O381" s="2">
        <v>0</v>
      </c>
      <c r="P381" s="2">
        <v>0</v>
      </c>
      <c r="Q381" s="2">
        <v>0</v>
      </c>
      <c r="R381" s="2">
        <v>0</v>
      </c>
      <c r="S381" s="8" t="str">
        <f t="shared" si="15"/>
        <v>30543035064002300043009</v>
      </c>
      <c r="T381" s="14">
        <f>IFERROR(VLOOKUP(S381,AFIP!$F$2:$R$999999,12,FALSE),"NO")</f>
        <v>22955.46</v>
      </c>
      <c r="U381" s="10" t="str">
        <f t="shared" si="16"/>
        <v>NO</v>
      </c>
      <c r="V381" s="10">
        <f>IFERROR(VLOOKUP(S381,AFIP!$F$2:$R$999999,13,FALSE),"NO")</f>
        <v>149999.94</v>
      </c>
      <c r="W381" s="1" t="str">
        <f t="shared" si="17"/>
        <v>NO</v>
      </c>
    </row>
    <row r="382" spans="1:23" hidden="1" x14ac:dyDescent="0.25">
      <c r="A382" s="1" t="s">
        <v>33</v>
      </c>
      <c r="B382" s="1" t="s">
        <v>34</v>
      </c>
      <c r="C382" s="1" t="s">
        <v>19</v>
      </c>
      <c r="D382" s="1">
        <v>33708336969</v>
      </c>
      <c r="E382" s="1" t="s">
        <v>20</v>
      </c>
      <c r="F382" s="1" t="s">
        <v>403</v>
      </c>
      <c r="G382" s="1" t="s">
        <v>53</v>
      </c>
      <c r="H382" s="1" t="s">
        <v>54</v>
      </c>
      <c r="I382" s="1" t="s">
        <v>694</v>
      </c>
      <c r="J382" s="2">
        <v>21</v>
      </c>
      <c r="K382" s="12">
        <v>2131112.61</v>
      </c>
      <c r="L382" s="2">
        <v>1761250.09</v>
      </c>
      <c r="M382" s="2">
        <v>0</v>
      </c>
      <c r="N382" s="12">
        <v>369862.52</v>
      </c>
      <c r="O382" s="2">
        <v>0</v>
      </c>
      <c r="P382" s="2">
        <v>0</v>
      </c>
      <c r="Q382" s="2">
        <v>0</v>
      </c>
      <c r="R382" s="2">
        <v>0</v>
      </c>
      <c r="S382" s="8" t="str">
        <f t="shared" si="15"/>
        <v>33708336969002700029761</v>
      </c>
      <c r="T382" s="14">
        <f>IFERROR(VLOOKUP(S382,AFIP!$F$2:$R$999999,12,FALSE),"NO")</f>
        <v>369862.52</v>
      </c>
      <c r="U382" s="10" t="str">
        <f t="shared" si="16"/>
        <v>SI</v>
      </c>
      <c r="V382" s="10">
        <f>IFERROR(VLOOKUP(S382,AFIP!$F$2:$R$999999,13,FALSE),"NO")</f>
        <v>2406031.86</v>
      </c>
      <c r="W382" s="1" t="str">
        <f t="shared" si="17"/>
        <v>NO</v>
      </c>
    </row>
    <row r="383" spans="1:23" hidden="1" x14ac:dyDescent="0.25">
      <c r="A383" s="1" t="s">
        <v>33</v>
      </c>
      <c r="B383" s="1" t="s">
        <v>34</v>
      </c>
      <c r="C383" s="1" t="s">
        <v>19</v>
      </c>
      <c r="D383" s="1">
        <v>33708336969</v>
      </c>
      <c r="E383" s="1" t="s">
        <v>20</v>
      </c>
      <c r="F383" s="1" t="s">
        <v>403</v>
      </c>
      <c r="G383" s="1" t="s">
        <v>53</v>
      </c>
      <c r="H383" s="1" t="s">
        <v>54</v>
      </c>
      <c r="I383" s="1" t="s">
        <v>694</v>
      </c>
      <c r="J383" s="2">
        <v>0</v>
      </c>
      <c r="K383" s="12">
        <v>274919.25</v>
      </c>
      <c r="L383" s="2">
        <v>0</v>
      </c>
      <c r="M383" s="2">
        <v>274919.25</v>
      </c>
      <c r="N383" s="12">
        <v>0</v>
      </c>
      <c r="O383" s="2">
        <v>0</v>
      </c>
      <c r="P383" s="2">
        <v>0</v>
      </c>
      <c r="Q383" s="2">
        <v>0</v>
      </c>
      <c r="R383" s="2">
        <v>0</v>
      </c>
      <c r="S383" s="8" t="str">
        <f t="shared" si="15"/>
        <v>33708336969002700029761</v>
      </c>
      <c r="T383" s="14">
        <f>IFERROR(VLOOKUP(S383,AFIP!$F$2:$R$999999,12,FALSE),"NO")</f>
        <v>369862.52</v>
      </c>
      <c r="U383" s="10" t="str">
        <f t="shared" si="16"/>
        <v>NO</v>
      </c>
      <c r="V383" s="10">
        <f>IFERROR(VLOOKUP(S383,AFIP!$F$2:$R$999999,13,FALSE),"NO")</f>
        <v>2406031.86</v>
      </c>
      <c r="W383" s="1" t="str">
        <f t="shared" si="17"/>
        <v>NO</v>
      </c>
    </row>
    <row r="384" spans="1:23" hidden="1" x14ac:dyDescent="0.25">
      <c r="A384" s="1" t="s">
        <v>407</v>
      </c>
      <c r="B384" s="1" t="s">
        <v>408</v>
      </c>
      <c r="C384" s="1" t="s">
        <v>19</v>
      </c>
      <c r="D384" s="1">
        <v>30503037226</v>
      </c>
      <c r="E384" s="1" t="s">
        <v>20</v>
      </c>
      <c r="F384" s="1" t="s">
        <v>403</v>
      </c>
      <c r="G384" s="1" t="s">
        <v>53</v>
      </c>
      <c r="H384" s="1" t="s">
        <v>54</v>
      </c>
      <c r="I384" s="1" t="s">
        <v>695</v>
      </c>
      <c r="J384" s="2">
        <v>21</v>
      </c>
      <c r="K384" s="12">
        <v>5170924.82</v>
      </c>
      <c r="L384" s="2">
        <v>4273491.59</v>
      </c>
      <c r="M384" s="2">
        <v>0</v>
      </c>
      <c r="N384" s="12">
        <v>897433.23</v>
      </c>
      <c r="O384" s="2">
        <v>0</v>
      </c>
      <c r="P384" s="2">
        <v>0</v>
      </c>
      <c r="Q384" s="2">
        <v>0</v>
      </c>
      <c r="R384" s="2">
        <v>0</v>
      </c>
      <c r="S384" s="8" t="str">
        <f t="shared" si="15"/>
        <v>30503037226007900026895</v>
      </c>
      <c r="T384" s="14">
        <f>IFERROR(VLOOKUP(S384,AFIP!$F$2:$R$999999,12,FALSE),"NO")</f>
        <v>897433.23</v>
      </c>
      <c r="U384" s="10" t="str">
        <f t="shared" si="16"/>
        <v>SI</v>
      </c>
      <c r="V384" s="10">
        <f>IFERROR(VLOOKUP(S384,AFIP!$F$2:$R$999999,13,FALSE),"NO")</f>
        <v>5170924.82</v>
      </c>
      <c r="W384" s="1" t="str">
        <f t="shared" si="17"/>
        <v>SI</v>
      </c>
    </row>
    <row r="385" spans="1:23" x14ac:dyDescent="0.25">
      <c r="A385" s="1" t="s">
        <v>64</v>
      </c>
      <c r="B385" s="1" t="s">
        <v>65</v>
      </c>
      <c r="C385" s="1" t="s">
        <v>19</v>
      </c>
      <c r="D385" s="1">
        <v>30500008454</v>
      </c>
      <c r="E385" s="1" t="s">
        <v>20</v>
      </c>
      <c r="F385" s="1" t="s">
        <v>403</v>
      </c>
      <c r="G385" s="1" t="s">
        <v>53</v>
      </c>
      <c r="H385" s="1" t="s">
        <v>54</v>
      </c>
      <c r="I385" s="1" t="s">
        <v>696</v>
      </c>
      <c r="J385" s="2">
        <v>10.5</v>
      </c>
      <c r="K385" s="12">
        <v>3925621.31</v>
      </c>
      <c r="L385" s="2">
        <v>3552598.47</v>
      </c>
      <c r="M385" s="2">
        <v>0</v>
      </c>
      <c r="N385" s="12">
        <v>373022.84</v>
      </c>
      <c r="O385" s="2">
        <v>0</v>
      </c>
      <c r="P385" s="2">
        <v>0</v>
      </c>
      <c r="Q385" s="2">
        <v>0</v>
      </c>
      <c r="R385" s="2">
        <v>0</v>
      </c>
      <c r="S385" s="8" t="str">
        <f t="shared" si="15"/>
        <v>30500008454011100670187</v>
      </c>
      <c r="T385" s="14" t="str">
        <f>IFERROR(VLOOKUP(S385,AFIP!$F$2:$R$999999,12,FALSE),"NO")</f>
        <v>NO</v>
      </c>
      <c r="U385" s="10" t="str">
        <f t="shared" si="16"/>
        <v>NO</v>
      </c>
      <c r="V385" s="10" t="str">
        <f>IFERROR(VLOOKUP(S385,AFIP!$F$2:$R$999999,13,FALSE),"NO")</f>
        <v>NO</v>
      </c>
      <c r="W385" s="1" t="str">
        <f t="shared" si="17"/>
        <v>NO</v>
      </c>
    </row>
    <row r="386" spans="1:23" x14ac:dyDescent="0.25">
      <c r="A386" s="1" t="s">
        <v>64</v>
      </c>
      <c r="B386" s="1" t="s">
        <v>65</v>
      </c>
      <c r="C386" s="1" t="s">
        <v>19</v>
      </c>
      <c r="D386" s="1">
        <v>30500008454</v>
      </c>
      <c r="E386" s="1" t="s">
        <v>20</v>
      </c>
      <c r="F386" s="1" t="s">
        <v>403</v>
      </c>
      <c r="G386" s="1" t="s">
        <v>53</v>
      </c>
      <c r="H386" s="1" t="s">
        <v>54</v>
      </c>
      <c r="I386" s="1" t="s">
        <v>696</v>
      </c>
      <c r="J386" s="2">
        <v>0</v>
      </c>
      <c r="K386" s="12">
        <v>1196826.97</v>
      </c>
      <c r="L386" s="2">
        <v>0</v>
      </c>
      <c r="M386" s="2">
        <v>1196826.97</v>
      </c>
      <c r="N386" s="12">
        <v>0</v>
      </c>
      <c r="O386" s="2">
        <v>0</v>
      </c>
      <c r="P386" s="2">
        <v>0</v>
      </c>
      <c r="Q386" s="2">
        <v>0</v>
      </c>
      <c r="R386" s="2">
        <v>0</v>
      </c>
      <c r="S386" s="8" t="str">
        <f t="shared" si="15"/>
        <v>30500008454011100670187</v>
      </c>
      <c r="T386" s="14" t="str">
        <f>IFERROR(VLOOKUP(S386,AFIP!$F$2:$R$999999,12,FALSE),"NO")</f>
        <v>NO</v>
      </c>
      <c r="U386" s="10" t="str">
        <f t="shared" si="16"/>
        <v>NO</v>
      </c>
      <c r="V386" s="10" t="str">
        <f>IFERROR(VLOOKUP(S386,AFIP!$F$2:$R$999999,13,FALSE),"NO")</f>
        <v>NO</v>
      </c>
      <c r="W386" s="1" t="str">
        <f t="shared" si="17"/>
        <v>NO</v>
      </c>
    </row>
    <row r="387" spans="1:23" hidden="1" x14ac:dyDescent="0.25">
      <c r="A387" s="1" t="s">
        <v>31</v>
      </c>
      <c r="B387" s="1" t="s">
        <v>32</v>
      </c>
      <c r="C387" s="1" t="s">
        <v>19</v>
      </c>
      <c r="D387" s="1">
        <v>30500529071</v>
      </c>
      <c r="E387" s="1" t="s">
        <v>20</v>
      </c>
      <c r="F387" s="1" t="s">
        <v>403</v>
      </c>
      <c r="G387" s="1" t="s">
        <v>53</v>
      </c>
      <c r="H387" s="1" t="s">
        <v>54</v>
      </c>
      <c r="I387" s="1" t="s">
        <v>697</v>
      </c>
      <c r="J387" s="2">
        <v>21</v>
      </c>
      <c r="K387" s="12">
        <v>119236.01</v>
      </c>
      <c r="L387" s="2">
        <v>94257.72</v>
      </c>
      <c r="M387" s="2">
        <v>0</v>
      </c>
      <c r="N387" s="12">
        <v>19794.12</v>
      </c>
      <c r="O387" s="2">
        <v>2827.73</v>
      </c>
      <c r="P387" s="2">
        <v>2356.44</v>
      </c>
      <c r="Q387" s="2">
        <v>0</v>
      </c>
      <c r="R387" s="2">
        <v>0</v>
      </c>
      <c r="S387" s="8" t="str">
        <f t="shared" ref="S387:S450" si="18">D387&amp;I387</f>
        <v>30500529071021500100586</v>
      </c>
      <c r="T387" s="14">
        <f>IFERROR(VLOOKUP(S387,AFIP!$F$2:$R$999999,12,FALSE),"NO")</f>
        <v>19794.12</v>
      </c>
      <c r="U387" s="10" t="str">
        <f t="shared" ref="U387:U446" si="19">IF(N387=T387,"SI","NO")</f>
        <v>SI</v>
      </c>
      <c r="V387" s="10">
        <f>IFERROR(VLOOKUP(S387,AFIP!$F$2:$R$999999,13,FALSE),"NO")</f>
        <v>119236.01</v>
      </c>
      <c r="W387" s="1" t="str">
        <f t="shared" ref="W387:W446" si="20">IF(K387=V387,"SI","NO")</f>
        <v>SI</v>
      </c>
    </row>
    <row r="388" spans="1:23" hidden="1" x14ac:dyDescent="0.25">
      <c r="A388" s="1" t="s">
        <v>31</v>
      </c>
      <c r="B388" s="1" t="s">
        <v>32</v>
      </c>
      <c r="C388" s="1" t="s">
        <v>19</v>
      </c>
      <c r="D388" s="1">
        <v>30500529071</v>
      </c>
      <c r="E388" s="1" t="s">
        <v>20</v>
      </c>
      <c r="F388" s="1" t="s">
        <v>403</v>
      </c>
      <c r="G388" s="1" t="s">
        <v>53</v>
      </c>
      <c r="H388" s="1" t="s">
        <v>54</v>
      </c>
      <c r="I388" s="1" t="s">
        <v>698</v>
      </c>
      <c r="J388" s="2">
        <v>21</v>
      </c>
      <c r="K388" s="12">
        <v>13727242.09</v>
      </c>
      <c r="L388" s="2">
        <v>10851574.779999999</v>
      </c>
      <c r="M388" s="2">
        <v>0</v>
      </c>
      <c r="N388" s="12">
        <v>2278830.7000000002</v>
      </c>
      <c r="O388" s="2">
        <v>325547.24</v>
      </c>
      <c r="P388" s="2">
        <v>271289.37</v>
      </c>
      <c r="Q388" s="2">
        <v>0</v>
      </c>
      <c r="R388" s="2">
        <v>0</v>
      </c>
      <c r="S388" s="8" t="str">
        <f t="shared" si="18"/>
        <v>30500529071021500100613</v>
      </c>
      <c r="T388" s="14">
        <f>IFERROR(VLOOKUP(S388,AFIP!$F$2:$R$999999,12,FALSE),"NO")</f>
        <v>2278830.7000000002</v>
      </c>
      <c r="U388" s="10" t="str">
        <f t="shared" si="19"/>
        <v>SI</v>
      </c>
      <c r="V388" s="10">
        <f>IFERROR(VLOOKUP(S388,AFIP!$F$2:$R$999999,13,FALSE),"NO")</f>
        <v>13727242.08</v>
      </c>
      <c r="W388" s="1" t="str">
        <f t="shared" si="20"/>
        <v>NO</v>
      </c>
    </row>
    <row r="389" spans="1:23" hidden="1" x14ac:dyDescent="0.25">
      <c r="A389" s="1" t="s">
        <v>17</v>
      </c>
      <c r="B389" s="1" t="s">
        <v>283</v>
      </c>
      <c r="C389" s="1" t="s">
        <v>19</v>
      </c>
      <c r="D389" s="1">
        <v>30500529454</v>
      </c>
      <c r="E389" s="1" t="s">
        <v>20</v>
      </c>
      <c r="F389" s="1" t="s">
        <v>403</v>
      </c>
      <c r="G389" s="1" t="s">
        <v>53</v>
      </c>
      <c r="H389" s="1" t="s">
        <v>54</v>
      </c>
      <c r="I389" s="1" t="s">
        <v>699</v>
      </c>
      <c r="J389" s="2">
        <v>21</v>
      </c>
      <c r="K389" s="12">
        <v>355181.49</v>
      </c>
      <c r="L389" s="2">
        <v>280775.88</v>
      </c>
      <c r="M389" s="2">
        <v>0</v>
      </c>
      <c r="N389" s="12">
        <v>58962.93</v>
      </c>
      <c r="O389" s="2">
        <v>8423.2800000000007</v>
      </c>
      <c r="P389" s="2">
        <v>7019.4</v>
      </c>
      <c r="Q389" s="2">
        <v>0</v>
      </c>
      <c r="R389" s="2">
        <v>0</v>
      </c>
      <c r="S389" s="8" t="str">
        <f t="shared" si="18"/>
        <v>30500529454026700907868</v>
      </c>
      <c r="T389" s="14">
        <f>IFERROR(VLOOKUP(S389,AFIP!$F$2:$R$999999,12,FALSE),"NO")</f>
        <v>58962.93</v>
      </c>
      <c r="U389" s="10" t="str">
        <f t="shared" si="19"/>
        <v>SI</v>
      </c>
      <c r="V389" s="10">
        <f>IFERROR(VLOOKUP(S389,AFIP!$F$2:$R$999999,13,FALSE),"NO")</f>
        <v>355181.49</v>
      </c>
      <c r="W389" s="1" t="str">
        <f t="shared" si="20"/>
        <v>SI</v>
      </c>
    </row>
    <row r="390" spans="1:23" hidden="1" x14ac:dyDescent="0.25">
      <c r="A390" s="1" t="s">
        <v>17</v>
      </c>
      <c r="B390" s="1" t="s">
        <v>295</v>
      </c>
      <c r="C390" s="1" t="s">
        <v>19</v>
      </c>
      <c r="D390" s="1">
        <v>30500529454</v>
      </c>
      <c r="E390" s="1" t="s">
        <v>20</v>
      </c>
      <c r="F390" s="1" t="s">
        <v>403</v>
      </c>
      <c r="G390" s="1" t="s">
        <v>53</v>
      </c>
      <c r="H390" s="1" t="s">
        <v>54</v>
      </c>
      <c r="I390" s="1" t="s">
        <v>700</v>
      </c>
      <c r="J390" s="2">
        <v>21</v>
      </c>
      <c r="K390" s="12">
        <v>5351823.9400000004</v>
      </c>
      <c r="L390" s="2">
        <v>4230690.8600000003</v>
      </c>
      <c r="M390" s="2">
        <v>0</v>
      </c>
      <c r="N390" s="12">
        <v>888445.08</v>
      </c>
      <c r="O390" s="2">
        <v>126920.73</v>
      </c>
      <c r="P390" s="2">
        <v>105767.27</v>
      </c>
      <c r="Q390" s="2">
        <v>0</v>
      </c>
      <c r="R390" s="2">
        <v>0</v>
      </c>
      <c r="S390" s="8" t="str">
        <f t="shared" si="18"/>
        <v>30500529454026800040813</v>
      </c>
      <c r="T390" s="14">
        <f>IFERROR(VLOOKUP(S390,AFIP!$F$2:$R$999999,12,FALSE),"NO")</f>
        <v>888445.08</v>
      </c>
      <c r="U390" s="10" t="str">
        <f t="shared" si="19"/>
        <v>SI</v>
      </c>
      <c r="V390" s="10">
        <f>IFERROR(VLOOKUP(S390,AFIP!$F$2:$R$999999,13,FALSE),"NO")</f>
        <v>5351823.9400000004</v>
      </c>
      <c r="W390" s="1" t="str">
        <f t="shared" si="20"/>
        <v>SI</v>
      </c>
    </row>
    <row r="391" spans="1:23" hidden="1" x14ac:dyDescent="0.25">
      <c r="A391" s="1" t="s">
        <v>17</v>
      </c>
      <c r="B391" s="1" t="s">
        <v>295</v>
      </c>
      <c r="C391" s="1" t="s">
        <v>19</v>
      </c>
      <c r="D391" s="1">
        <v>30500529454</v>
      </c>
      <c r="E391" s="1" t="s">
        <v>20</v>
      </c>
      <c r="F391" s="1" t="s">
        <v>403</v>
      </c>
      <c r="G391" s="1" t="s">
        <v>53</v>
      </c>
      <c r="H391" s="1" t="s">
        <v>54</v>
      </c>
      <c r="I391" s="1" t="s">
        <v>701</v>
      </c>
      <c r="J391" s="2">
        <v>21</v>
      </c>
      <c r="K391" s="12">
        <v>5036266.9000000004</v>
      </c>
      <c r="L391" s="2">
        <v>3981238.65</v>
      </c>
      <c r="M391" s="2">
        <v>0</v>
      </c>
      <c r="N391" s="12">
        <v>836060.12</v>
      </c>
      <c r="O391" s="2">
        <v>119437.16</v>
      </c>
      <c r="P391" s="2">
        <v>99530.97</v>
      </c>
      <c r="Q391" s="2">
        <v>0</v>
      </c>
      <c r="R391" s="2">
        <v>0</v>
      </c>
      <c r="S391" s="8" t="str">
        <f t="shared" si="18"/>
        <v>30500529454026800040814</v>
      </c>
      <c r="T391" s="14">
        <f>IFERROR(VLOOKUP(S391,AFIP!$F$2:$R$999999,12,FALSE),"NO")</f>
        <v>836060.12</v>
      </c>
      <c r="U391" s="10" t="str">
        <f t="shared" si="19"/>
        <v>SI</v>
      </c>
      <c r="V391" s="10">
        <f>IFERROR(VLOOKUP(S391,AFIP!$F$2:$R$999999,13,FALSE),"NO")</f>
        <v>5036266.9000000004</v>
      </c>
      <c r="W391" s="1" t="str">
        <f t="shared" si="20"/>
        <v>SI</v>
      </c>
    </row>
    <row r="392" spans="1:23" hidden="1" x14ac:dyDescent="0.25">
      <c r="A392" s="1" t="s">
        <v>1126</v>
      </c>
      <c r="B392" s="1" t="s">
        <v>915</v>
      </c>
      <c r="C392" s="1" t="s">
        <v>19</v>
      </c>
      <c r="D392" s="1">
        <v>27147354466</v>
      </c>
      <c r="E392" s="1" t="s">
        <v>20</v>
      </c>
      <c r="F392" s="1" t="s">
        <v>412</v>
      </c>
      <c r="G392" s="1" t="s">
        <v>53</v>
      </c>
      <c r="H392" s="1" t="s">
        <v>54</v>
      </c>
      <c r="I392" s="1" t="s">
        <v>1127</v>
      </c>
      <c r="J392" s="2">
        <v>21</v>
      </c>
      <c r="K392" s="12">
        <v>34500.730000000003</v>
      </c>
      <c r="L392" s="2">
        <v>28513</v>
      </c>
      <c r="M392" s="2">
        <v>0</v>
      </c>
      <c r="N392" s="12">
        <v>5987.73</v>
      </c>
      <c r="O392" s="2">
        <v>0</v>
      </c>
      <c r="P392" s="2">
        <v>0</v>
      </c>
      <c r="Q392" s="2">
        <v>0</v>
      </c>
      <c r="R392" s="2">
        <v>0</v>
      </c>
      <c r="S392" s="8" t="str">
        <f t="shared" si="18"/>
        <v>27147354466000300003695</v>
      </c>
      <c r="T392" s="14">
        <f>IFERROR(VLOOKUP(S392,AFIP!$F$2:$R$999999,12,FALSE),"NO")</f>
        <v>5987.73</v>
      </c>
      <c r="U392" s="10" t="str">
        <f t="shared" si="19"/>
        <v>SI</v>
      </c>
      <c r="V392" s="10">
        <f>IFERROR(VLOOKUP(S392,AFIP!$F$2:$R$999999,13,FALSE),"NO")</f>
        <v>34500.730000000003</v>
      </c>
      <c r="W392" s="1" t="str">
        <f t="shared" si="20"/>
        <v>SI</v>
      </c>
    </row>
    <row r="393" spans="1:23" hidden="1" x14ac:dyDescent="0.25">
      <c r="A393" s="1" t="s">
        <v>702</v>
      </c>
      <c r="B393" s="1" t="s">
        <v>703</v>
      </c>
      <c r="C393" s="1" t="s">
        <v>19</v>
      </c>
      <c r="D393" s="1">
        <v>20119547459</v>
      </c>
      <c r="E393" s="1" t="s">
        <v>20</v>
      </c>
      <c r="F393" s="1" t="s">
        <v>412</v>
      </c>
      <c r="G393" s="1" t="s">
        <v>53</v>
      </c>
      <c r="H393" s="1" t="s">
        <v>54</v>
      </c>
      <c r="I393" s="1" t="s">
        <v>704</v>
      </c>
      <c r="J393" s="2">
        <v>21</v>
      </c>
      <c r="K393" s="12">
        <v>24477.34</v>
      </c>
      <c r="L393" s="2">
        <v>20229.21</v>
      </c>
      <c r="M393" s="2">
        <v>0</v>
      </c>
      <c r="N393" s="12">
        <v>4248.13</v>
      </c>
      <c r="O393" s="2">
        <v>0</v>
      </c>
      <c r="P393" s="2">
        <v>0</v>
      </c>
      <c r="Q393" s="2">
        <v>0</v>
      </c>
      <c r="R393" s="2">
        <v>0</v>
      </c>
      <c r="S393" s="8" t="str">
        <f t="shared" si="18"/>
        <v>20119547459000300044682</v>
      </c>
      <c r="T393" s="14">
        <f>IFERROR(VLOOKUP(S393,AFIP!$F$2:$R$999999,12,FALSE),"NO")</f>
        <v>4248.13</v>
      </c>
      <c r="U393" s="10" t="str">
        <f t="shared" si="19"/>
        <v>SI</v>
      </c>
      <c r="V393" s="10">
        <f>IFERROR(VLOOKUP(S393,AFIP!$F$2:$R$999999,13,FALSE),"NO")</f>
        <v>24477.34</v>
      </c>
      <c r="W393" s="1" t="str">
        <f t="shared" si="20"/>
        <v>SI</v>
      </c>
    </row>
    <row r="394" spans="1:23" hidden="1" x14ac:dyDescent="0.25">
      <c r="A394" s="1" t="s">
        <v>1034</v>
      </c>
      <c r="B394" s="1" t="s">
        <v>250</v>
      </c>
      <c r="C394" s="1" t="s">
        <v>19</v>
      </c>
      <c r="D394" s="1">
        <v>20177699889</v>
      </c>
      <c r="E394" s="1" t="s">
        <v>20</v>
      </c>
      <c r="F394" s="1" t="s">
        <v>412</v>
      </c>
      <c r="G394" s="1" t="s">
        <v>53</v>
      </c>
      <c r="H394" s="1" t="s">
        <v>54</v>
      </c>
      <c r="I394" s="1" t="s">
        <v>1128</v>
      </c>
      <c r="J394" s="2">
        <v>21</v>
      </c>
      <c r="K394" s="12">
        <v>44000</v>
      </c>
      <c r="L394" s="2">
        <v>36363.64</v>
      </c>
      <c r="M394" s="2">
        <v>0</v>
      </c>
      <c r="N394" s="12">
        <v>7636.36</v>
      </c>
      <c r="O394" s="2">
        <v>0</v>
      </c>
      <c r="P394" s="2">
        <v>0</v>
      </c>
      <c r="Q394" s="2">
        <v>0</v>
      </c>
      <c r="R394" s="2">
        <v>0</v>
      </c>
      <c r="S394" s="8" t="str">
        <f t="shared" si="18"/>
        <v>20177699889000500000509</v>
      </c>
      <c r="T394" s="14">
        <f>IFERROR(VLOOKUP(S394,AFIP!$F$2:$R$999999,12,FALSE),"NO")</f>
        <v>7636.36</v>
      </c>
      <c r="U394" s="10" t="str">
        <f t="shared" si="19"/>
        <v>SI</v>
      </c>
      <c r="V394" s="10">
        <f>IFERROR(VLOOKUP(S394,AFIP!$F$2:$R$999999,13,FALSE),"NO")</f>
        <v>44000</v>
      </c>
      <c r="W394" s="1" t="str">
        <f t="shared" si="20"/>
        <v>SI</v>
      </c>
    </row>
    <row r="395" spans="1:23" x14ac:dyDescent="0.25">
      <c r="A395" s="1" t="s">
        <v>705</v>
      </c>
      <c r="B395" s="1" t="s">
        <v>706</v>
      </c>
      <c r="C395" s="1" t="s">
        <v>19</v>
      </c>
      <c r="D395" s="1">
        <v>30711489734</v>
      </c>
      <c r="E395" s="1" t="s">
        <v>20</v>
      </c>
      <c r="F395" s="1" t="s">
        <v>412</v>
      </c>
      <c r="G395" s="1" t="s">
        <v>53</v>
      </c>
      <c r="H395" s="1" t="s">
        <v>54</v>
      </c>
      <c r="I395" s="1" t="s">
        <v>707</v>
      </c>
      <c r="J395" s="2">
        <v>0</v>
      </c>
      <c r="K395" s="12">
        <v>1869.06</v>
      </c>
      <c r="L395" s="2">
        <v>0</v>
      </c>
      <c r="M395" s="2">
        <v>1869.06</v>
      </c>
      <c r="N395" s="12">
        <v>0</v>
      </c>
      <c r="O395" s="2">
        <v>0</v>
      </c>
      <c r="P395" s="2">
        <v>0</v>
      </c>
      <c r="Q395" s="2">
        <v>0</v>
      </c>
      <c r="R395" s="2">
        <v>0</v>
      </c>
      <c r="S395" s="8" t="str">
        <f t="shared" si="18"/>
        <v>30711489734001200014347</v>
      </c>
      <c r="T395" s="14" t="str">
        <f>IFERROR(VLOOKUP(S395,AFIP!$F$2:$R$999999,12,FALSE),"NO")</f>
        <v>NO</v>
      </c>
      <c r="U395" s="10" t="str">
        <f t="shared" si="19"/>
        <v>NO</v>
      </c>
      <c r="V395" s="10" t="str">
        <f>IFERROR(VLOOKUP(S395,AFIP!$F$2:$R$999999,13,FALSE),"NO")</f>
        <v>NO</v>
      </c>
      <c r="W395" s="1" t="str">
        <f t="shared" si="20"/>
        <v>NO</v>
      </c>
    </row>
    <row r="396" spans="1:23" x14ac:dyDescent="0.25">
      <c r="A396" s="1" t="s">
        <v>99</v>
      </c>
      <c r="B396" s="1" t="s">
        <v>100</v>
      </c>
      <c r="C396" s="1" t="s">
        <v>19</v>
      </c>
      <c r="D396" s="1">
        <v>30707787364</v>
      </c>
      <c r="E396" s="1" t="s">
        <v>20</v>
      </c>
      <c r="F396" s="1" t="s">
        <v>412</v>
      </c>
      <c r="G396" s="1" t="s">
        <v>53</v>
      </c>
      <c r="H396" s="1" t="s">
        <v>54</v>
      </c>
      <c r="I396" s="1" t="s">
        <v>708</v>
      </c>
      <c r="J396" s="2">
        <v>21</v>
      </c>
      <c r="K396" s="12">
        <v>586215.03</v>
      </c>
      <c r="L396" s="2">
        <v>484475.23</v>
      </c>
      <c r="M396" s="2">
        <v>0</v>
      </c>
      <c r="N396" s="12">
        <v>101739.8</v>
      </c>
      <c r="O396" s="2">
        <v>0</v>
      </c>
      <c r="P396" s="2">
        <v>0</v>
      </c>
      <c r="Q396" s="2">
        <v>0</v>
      </c>
      <c r="R396" s="2">
        <v>0</v>
      </c>
      <c r="S396" s="8" t="str">
        <f t="shared" si="18"/>
        <v>30707787364001700002672</v>
      </c>
      <c r="T396" s="14" t="str">
        <f>IFERROR(VLOOKUP(S396,AFIP!$F$2:$R$999999,12,FALSE),"NO")</f>
        <v>NO</v>
      </c>
      <c r="U396" s="10" t="str">
        <f t="shared" si="19"/>
        <v>NO</v>
      </c>
      <c r="V396" s="10" t="str">
        <f>IFERROR(VLOOKUP(S396,AFIP!$F$2:$R$999999,13,FALSE),"NO")</f>
        <v>NO</v>
      </c>
      <c r="W396" s="1" t="str">
        <f t="shared" si="20"/>
        <v>NO</v>
      </c>
    </row>
    <row r="397" spans="1:23" x14ac:dyDescent="0.25">
      <c r="A397" s="1" t="s">
        <v>99</v>
      </c>
      <c r="B397" s="1" t="s">
        <v>100</v>
      </c>
      <c r="C397" s="1" t="s">
        <v>19</v>
      </c>
      <c r="D397" s="1">
        <v>30707787364</v>
      </c>
      <c r="E397" s="1" t="s">
        <v>20</v>
      </c>
      <c r="F397" s="1" t="s">
        <v>412</v>
      </c>
      <c r="G397" s="1" t="s">
        <v>53</v>
      </c>
      <c r="H397" s="1" t="s">
        <v>54</v>
      </c>
      <c r="I397" s="1" t="s">
        <v>708</v>
      </c>
      <c r="J397" s="2">
        <v>0</v>
      </c>
      <c r="K397" s="12">
        <v>103917.29</v>
      </c>
      <c r="L397" s="2">
        <v>0</v>
      </c>
      <c r="M397" s="2">
        <v>103917.29</v>
      </c>
      <c r="N397" s="12">
        <v>0</v>
      </c>
      <c r="O397" s="2">
        <v>0</v>
      </c>
      <c r="P397" s="2">
        <v>0</v>
      </c>
      <c r="Q397" s="2">
        <v>0</v>
      </c>
      <c r="R397" s="2">
        <v>0</v>
      </c>
      <c r="S397" s="8" t="str">
        <f t="shared" si="18"/>
        <v>30707787364001700002672</v>
      </c>
      <c r="T397" s="14" t="str">
        <f>IFERROR(VLOOKUP(S397,AFIP!$F$2:$R$999999,12,FALSE),"NO")</f>
        <v>NO</v>
      </c>
      <c r="U397" s="10" t="str">
        <f t="shared" si="19"/>
        <v>NO</v>
      </c>
      <c r="V397" s="10" t="str">
        <f>IFERROR(VLOOKUP(S397,AFIP!$F$2:$R$999999,13,FALSE),"NO")</f>
        <v>NO</v>
      </c>
      <c r="W397" s="1" t="str">
        <f t="shared" si="20"/>
        <v>NO</v>
      </c>
    </row>
    <row r="398" spans="1:23" x14ac:dyDescent="0.25">
      <c r="A398" s="1" t="s">
        <v>1129</v>
      </c>
      <c r="B398" s="1" t="s">
        <v>1130</v>
      </c>
      <c r="C398" s="1" t="s">
        <v>19</v>
      </c>
      <c r="D398" s="1">
        <v>33710012909</v>
      </c>
      <c r="E398" s="1" t="s">
        <v>20</v>
      </c>
      <c r="F398" s="1" t="s">
        <v>412</v>
      </c>
      <c r="G398" s="1" t="s">
        <v>53</v>
      </c>
      <c r="H398" s="1" t="s">
        <v>54</v>
      </c>
      <c r="I398" s="1" t="s">
        <v>1131</v>
      </c>
      <c r="J398" s="2">
        <v>21</v>
      </c>
      <c r="K398" s="12">
        <v>33672.870000000003</v>
      </c>
      <c r="L398" s="2">
        <v>27828.82</v>
      </c>
      <c r="M398" s="2">
        <v>0</v>
      </c>
      <c r="N398" s="12">
        <v>5844.05</v>
      </c>
      <c r="O398" s="2">
        <v>0</v>
      </c>
      <c r="P398" s="2">
        <v>0</v>
      </c>
      <c r="Q398" s="2">
        <v>0</v>
      </c>
      <c r="R398" s="2">
        <v>0</v>
      </c>
      <c r="S398" s="8" t="str">
        <f t="shared" si="18"/>
        <v>33710012909001900045622</v>
      </c>
      <c r="T398" s="14" t="str">
        <f>IFERROR(VLOOKUP(S398,AFIP!$F$2:$R$999999,12,FALSE),"NO")</f>
        <v>NO</v>
      </c>
      <c r="U398" s="10" t="str">
        <f t="shared" si="19"/>
        <v>NO</v>
      </c>
      <c r="V398" s="10" t="str">
        <f>IFERROR(VLOOKUP(S398,AFIP!$F$2:$R$999999,13,FALSE),"NO")</f>
        <v>NO</v>
      </c>
      <c r="W398" s="1" t="str">
        <f t="shared" si="20"/>
        <v>NO</v>
      </c>
    </row>
    <row r="399" spans="1:23" x14ac:dyDescent="0.25">
      <c r="A399" s="1" t="s">
        <v>1129</v>
      </c>
      <c r="B399" s="1" t="s">
        <v>1130</v>
      </c>
      <c r="C399" s="1" t="s">
        <v>19</v>
      </c>
      <c r="D399" s="1">
        <v>33710012909</v>
      </c>
      <c r="E399" s="1" t="s">
        <v>20</v>
      </c>
      <c r="F399" s="1" t="s">
        <v>412</v>
      </c>
      <c r="G399" s="1" t="s">
        <v>53</v>
      </c>
      <c r="H399" s="1" t="s">
        <v>54</v>
      </c>
      <c r="I399" s="1" t="s">
        <v>1131</v>
      </c>
      <c r="J399" s="2">
        <v>0</v>
      </c>
      <c r="K399" s="12">
        <v>6330.2</v>
      </c>
      <c r="L399" s="2">
        <v>0</v>
      </c>
      <c r="M399" s="2">
        <v>6330.2</v>
      </c>
      <c r="N399" s="12">
        <v>0</v>
      </c>
      <c r="O399" s="2">
        <v>0</v>
      </c>
      <c r="P399" s="2">
        <v>0</v>
      </c>
      <c r="Q399" s="2">
        <v>0</v>
      </c>
      <c r="R399" s="2">
        <v>0</v>
      </c>
      <c r="S399" s="8" t="str">
        <f t="shared" si="18"/>
        <v>33710012909001900045622</v>
      </c>
      <c r="T399" s="14" t="str">
        <f>IFERROR(VLOOKUP(S399,AFIP!$F$2:$R$999999,12,FALSE),"NO")</f>
        <v>NO</v>
      </c>
      <c r="U399" s="10" t="str">
        <f t="shared" si="19"/>
        <v>NO</v>
      </c>
      <c r="V399" s="10" t="str">
        <f>IFERROR(VLOOKUP(S399,AFIP!$F$2:$R$999999,13,FALSE),"NO")</f>
        <v>NO</v>
      </c>
      <c r="W399" s="1" t="str">
        <f t="shared" si="20"/>
        <v>NO</v>
      </c>
    </row>
    <row r="400" spans="1:23" x14ac:dyDescent="0.25">
      <c r="A400" s="1" t="s">
        <v>1132</v>
      </c>
      <c r="B400" s="1" t="s">
        <v>1133</v>
      </c>
      <c r="C400" s="1" t="s">
        <v>19</v>
      </c>
      <c r="D400" s="1">
        <v>30581275710</v>
      </c>
      <c r="E400" s="1" t="s">
        <v>20</v>
      </c>
      <c r="F400" s="1" t="s">
        <v>412</v>
      </c>
      <c r="G400" s="1" t="s">
        <v>53</v>
      </c>
      <c r="H400" s="1" t="s">
        <v>54</v>
      </c>
      <c r="I400" s="1" t="s">
        <v>1134</v>
      </c>
      <c r="J400" s="2">
        <v>21</v>
      </c>
      <c r="K400" s="12">
        <v>33257.839999999997</v>
      </c>
      <c r="L400" s="2">
        <v>27485.82</v>
      </c>
      <c r="M400" s="2">
        <v>0</v>
      </c>
      <c r="N400" s="12">
        <v>5772.02</v>
      </c>
      <c r="O400" s="2">
        <v>0</v>
      </c>
      <c r="P400" s="2">
        <v>0</v>
      </c>
      <c r="Q400" s="2">
        <v>0</v>
      </c>
      <c r="R400" s="2">
        <v>0</v>
      </c>
      <c r="S400" s="8" t="str">
        <f t="shared" si="18"/>
        <v>30581275710003800090067</v>
      </c>
      <c r="T400" s="14" t="str">
        <f>IFERROR(VLOOKUP(S400,AFIP!$F$2:$R$999999,12,FALSE),"NO")</f>
        <v>NO</v>
      </c>
      <c r="U400" s="10" t="str">
        <f t="shared" si="19"/>
        <v>NO</v>
      </c>
      <c r="V400" s="10" t="str">
        <f>IFERROR(VLOOKUP(S400,AFIP!$F$2:$R$999999,13,FALSE),"NO")</f>
        <v>NO</v>
      </c>
      <c r="W400" s="1" t="str">
        <f t="shared" si="20"/>
        <v>NO</v>
      </c>
    </row>
    <row r="401" spans="1:23" x14ac:dyDescent="0.25">
      <c r="A401" s="1" t="s">
        <v>1132</v>
      </c>
      <c r="B401" s="1" t="s">
        <v>1133</v>
      </c>
      <c r="C401" s="1" t="s">
        <v>19</v>
      </c>
      <c r="D401" s="1">
        <v>30581275710</v>
      </c>
      <c r="E401" s="1" t="s">
        <v>20</v>
      </c>
      <c r="F401" s="1" t="s">
        <v>412</v>
      </c>
      <c r="G401" s="1" t="s">
        <v>53</v>
      </c>
      <c r="H401" s="1" t="s">
        <v>54</v>
      </c>
      <c r="I401" s="1" t="s">
        <v>1134</v>
      </c>
      <c r="J401" s="2">
        <v>0</v>
      </c>
      <c r="K401" s="12">
        <v>6755.1</v>
      </c>
      <c r="L401" s="2">
        <v>0</v>
      </c>
      <c r="M401" s="2">
        <v>6755.1</v>
      </c>
      <c r="N401" s="12">
        <v>0</v>
      </c>
      <c r="O401" s="2">
        <v>0</v>
      </c>
      <c r="P401" s="2">
        <v>0</v>
      </c>
      <c r="Q401" s="2">
        <v>0</v>
      </c>
      <c r="R401" s="2">
        <v>0</v>
      </c>
      <c r="S401" s="8" t="str">
        <f t="shared" si="18"/>
        <v>30581275710003800090067</v>
      </c>
      <c r="T401" s="14" t="str">
        <f>IFERROR(VLOOKUP(S401,AFIP!$F$2:$R$999999,12,FALSE),"NO")</f>
        <v>NO</v>
      </c>
      <c r="U401" s="10" t="str">
        <f t="shared" si="19"/>
        <v>NO</v>
      </c>
      <c r="V401" s="10" t="str">
        <f>IFERROR(VLOOKUP(S401,AFIP!$F$2:$R$999999,13,FALSE),"NO")</f>
        <v>NO</v>
      </c>
      <c r="W401" s="1" t="str">
        <f t="shared" si="20"/>
        <v>NO</v>
      </c>
    </row>
    <row r="402" spans="1:23" hidden="1" x14ac:dyDescent="0.25">
      <c r="A402" s="1" t="s">
        <v>1036</v>
      </c>
      <c r="B402" s="1" t="s">
        <v>323</v>
      </c>
      <c r="C402" s="1" t="s">
        <v>19</v>
      </c>
      <c r="D402" s="1">
        <v>30698548289</v>
      </c>
      <c r="E402" s="1" t="s">
        <v>20</v>
      </c>
      <c r="F402" s="1" t="s">
        <v>412</v>
      </c>
      <c r="G402" s="1" t="s">
        <v>53</v>
      </c>
      <c r="H402" s="1" t="s">
        <v>54</v>
      </c>
      <c r="I402" s="1" t="s">
        <v>1135</v>
      </c>
      <c r="J402" s="2">
        <v>21</v>
      </c>
      <c r="K402" s="12">
        <v>88917.08</v>
      </c>
      <c r="L402" s="2">
        <v>73485.19</v>
      </c>
      <c r="M402" s="2">
        <v>0</v>
      </c>
      <c r="N402" s="12">
        <v>15431.89</v>
      </c>
      <c r="O402" s="2">
        <v>0</v>
      </c>
      <c r="P402" s="2">
        <v>0</v>
      </c>
      <c r="Q402" s="2">
        <v>0</v>
      </c>
      <c r="R402" s="2">
        <v>0</v>
      </c>
      <c r="S402" s="8" t="str">
        <f t="shared" si="18"/>
        <v>30698548289011500009269</v>
      </c>
      <c r="T402" s="14">
        <f>IFERROR(VLOOKUP(S402,AFIP!$F$2:$R$999999,12,FALSE),"NO")</f>
        <v>15431.89</v>
      </c>
      <c r="U402" s="10" t="str">
        <f t="shared" si="19"/>
        <v>SI</v>
      </c>
      <c r="V402" s="10">
        <f>IFERROR(VLOOKUP(S402,AFIP!$F$2:$R$999999,13,FALSE),"NO")</f>
        <v>100000.19</v>
      </c>
      <c r="W402" s="1" t="str">
        <f t="shared" si="20"/>
        <v>NO</v>
      </c>
    </row>
    <row r="403" spans="1:23" hidden="1" x14ac:dyDescent="0.25">
      <c r="A403" s="1" t="s">
        <v>1036</v>
      </c>
      <c r="B403" s="1" t="s">
        <v>323</v>
      </c>
      <c r="C403" s="1" t="s">
        <v>19</v>
      </c>
      <c r="D403" s="1">
        <v>30698548289</v>
      </c>
      <c r="E403" s="1" t="s">
        <v>20</v>
      </c>
      <c r="F403" s="1" t="s">
        <v>412</v>
      </c>
      <c r="G403" s="1" t="s">
        <v>53</v>
      </c>
      <c r="H403" s="1" t="s">
        <v>54</v>
      </c>
      <c r="I403" s="1" t="s">
        <v>1135</v>
      </c>
      <c r="J403" s="2">
        <v>0</v>
      </c>
      <c r="K403" s="12">
        <v>11083.11</v>
      </c>
      <c r="L403" s="2">
        <v>0</v>
      </c>
      <c r="M403" s="2">
        <v>11083.11</v>
      </c>
      <c r="N403" s="12">
        <v>0</v>
      </c>
      <c r="O403" s="2">
        <v>0</v>
      </c>
      <c r="P403" s="2">
        <v>0</v>
      </c>
      <c r="Q403" s="2">
        <v>0</v>
      </c>
      <c r="R403" s="2">
        <v>0</v>
      </c>
      <c r="S403" s="8" t="str">
        <f t="shared" si="18"/>
        <v>30698548289011500009269</v>
      </c>
      <c r="T403" s="14">
        <f>IFERROR(VLOOKUP(S403,AFIP!$F$2:$R$999999,12,FALSE),"NO")</f>
        <v>15431.89</v>
      </c>
      <c r="U403" s="10" t="str">
        <f t="shared" si="19"/>
        <v>NO</v>
      </c>
      <c r="V403" s="10">
        <f>IFERROR(VLOOKUP(S403,AFIP!$F$2:$R$999999,13,FALSE),"NO")</f>
        <v>100000.19</v>
      </c>
      <c r="W403" s="1" t="str">
        <f t="shared" si="20"/>
        <v>NO</v>
      </c>
    </row>
    <row r="404" spans="1:23" hidden="1" x14ac:dyDescent="0.25">
      <c r="A404" s="1" t="s">
        <v>17</v>
      </c>
      <c r="B404" s="1" t="s">
        <v>18</v>
      </c>
      <c r="C404" s="1" t="s">
        <v>19</v>
      </c>
      <c r="D404" s="1">
        <v>30500529454</v>
      </c>
      <c r="E404" s="1" t="s">
        <v>20</v>
      </c>
      <c r="F404" s="1" t="s">
        <v>412</v>
      </c>
      <c r="G404" s="1" t="s">
        <v>53</v>
      </c>
      <c r="H404" s="1" t="s">
        <v>54</v>
      </c>
      <c r="I404" s="1" t="s">
        <v>709</v>
      </c>
      <c r="J404" s="2">
        <v>21</v>
      </c>
      <c r="K404" s="12">
        <v>70846464.290000007</v>
      </c>
      <c r="L404" s="2">
        <v>56096079.280000001</v>
      </c>
      <c r="M404" s="2">
        <v>0</v>
      </c>
      <c r="N404" s="12">
        <v>11780176.65</v>
      </c>
      <c r="O404" s="2">
        <v>1620113.66</v>
      </c>
      <c r="P404" s="2">
        <v>1350094.71</v>
      </c>
      <c r="Q404" s="2">
        <v>-9.9999900000000003E-3</v>
      </c>
      <c r="R404" s="2">
        <v>0</v>
      </c>
      <c r="S404" s="8" t="str">
        <f t="shared" si="18"/>
        <v>30500529454026700907946</v>
      </c>
      <c r="T404" s="14">
        <f>IFERROR(VLOOKUP(S404,AFIP!$F$2:$R$999999,12,FALSE),"NO")</f>
        <v>12202281.92</v>
      </c>
      <c r="U404" s="10" t="str">
        <f t="shared" si="19"/>
        <v>NO</v>
      </c>
      <c r="V404" s="10">
        <f>IFERROR(VLOOKUP(S404,AFIP!$F$2:$R$999999,13,FALSE),"NO")</f>
        <v>73504222.010000005</v>
      </c>
      <c r="W404" s="1" t="str">
        <f t="shared" si="20"/>
        <v>NO</v>
      </c>
    </row>
    <row r="405" spans="1:23" hidden="1" x14ac:dyDescent="0.25">
      <c r="A405" s="1" t="s">
        <v>17</v>
      </c>
      <c r="B405" s="1" t="s">
        <v>18</v>
      </c>
      <c r="C405" s="1" t="s">
        <v>19</v>
      </c>
      <c r="D405" s="1">
        <v>30500529454</v>
      </c>
      <c r="E405" s="1" t="s">
        <v>20</v>
      </c>
      <c r="F405" s="1" t="s">
        <v>412</v>
      </c>
      <c r="G405" s="1" t="s">
        <v>53</v>
      </c>
      <c r="H405" s="1" t="s">
        <v>54</v>
      </c>
      <c r="I405" s="1" t="s">
        <v>709</v>
      </c>
      <c r="J405" s="2">
        <v>21</v>
      </c>
      <c r="K405" s="12">
        <v>2657757.7200000002</v>
      </c>
      <c r="L405" s="2">
        <v>2010025.08</v>
      </c>
      <c r="M405" s="2">
        <v>0</v>
      </c>
      <c r="N405" s="12">
        <v>422105.27</v>
      </c>
      <c r="O405" s="2">
        <v>123069.47</v>
      </c>
      <c r="P405" s="2">
        <v>102557.89</v>
      </c>
      <c r="Q405" s="2">
        <v>0.01</v>
      </c>
      <c r="R405" s="2">
        <v>0</v>
      </c>
      <c r="S405" s="8" t="str">
        <f t="shared" si="18"/>
        <v>30500529454026700907946</v>
      </c>
      <c r="T405" s="14">
        <f>IFERROR(VLOOKUP(S405,AFIP!$F$2:$R$999999,12,FALSE),"NO")</f>
        <v>12202281.92</v>
      </c>
      <c r="U405" s="10" t="str">
        <f t="shared" si="19"/>
        <v>NO</v>
      </c>
      <c r="V405" s="10">
        <f>IFERROR(VLOOKUP(S405,AFIP!$F$2:$R$999999,13,FALSE),"NO")</f>
        <v>73504222.010000005</v>
      </c>
      <c r="W405" s="1" t="str">
        <f t="shared" si="20"/>
        <v>NO</v>
      </c>
    </row>
    <row r="406" spans="1:23" hidden="1" x14ac:dyDescent="0.25">
      <c r="A406" s="1" t="s">
        <v>17</v>
      </c>
      <c r="B406" s="1" t="s">
        <v>18</v>
      </c>
      <c r="C406" s="1" t="s">
        <v>19</v>
      </c>
      <c r="D406" s="1">
        <v>30500529454</v>
      </c>
      <c r="E406" s="1" t="s">
        <v>20</v>
      </c>
      <c r="F406" s="1" t="s">
        <v>412</v>
      </c>
      <c r="G406" s="1" t="s">
        <v>53</v>
      </c>
      <c r="H406" s="1" t="s">
        <v>54</v>
      </c>
      <c r="I406" s="1" t="s">
        <v>710</v>
      </c>
      <c r="J406" s="2">
        <v>21</v>
      </c>
      <c r="K406" s="12">
        <v>19991302.09</v>
      </c>
      <c r="L406" s="2">
        <v>15834059.52</v>
      </c>
      <c r="M406" s="2">
        <v>0</v>
      </c>
      <c r="N406" s="12">
        <v>3325152.51</v>
      </c>
      <c r="O406" s="2">
        <v>453867.31</v>
      </c>
      <c r="P406" s="2">
        <v>378222.75</v>
      </c>
      <c r="Q406" s="2">
        <v>0</v>
      </c>
      <c r="R406" s="2">
        <v>0</v>
      </c>
      <c r="S406" s="8" t="str">
        <f t="shared" si="18"/>
        <v>30500529454026700907950</v>
      </c>
      <c r="T406" s="14">
        <f>IFERROR(VLOOKUP(S406,AFIP!$F$2:$R$999999,12,FALSE),"NO")</f>
        <v>3469539.22</v>
      </c>
      <c r="U406" s="10" t="str">
        <f t="shared" si="19"/>
        <v>NO</v>
      </c>
      <c r="V406" s="10">
        <f>IFERROR(VLOOKUP(S406,AFIP!$F$2:$R$999999,13,FALSE),"NO")</f>
        <v>20899843.329999998</v>
      </c>
      <c r="W406" s="1" t="str">
        <f t="shared" si="20"/>
        <v>NO</v>
      </c>
    </row>
    <row r="407" spans="1:23" hidden="1" x14ac:dyDescent="0.25">
      <c r="A407" s="1" t="s">
        <v>17</v>
      </c>
      <c r="B407" s="1" t="s">
        <v>18</v>
      </c>
      <c r="C407" s="1" t="s">
        <v>19</v>
      </c>
      <c r="D407" s="1">
        <v>30500529454</v>
      </c>
      <c r="E407" s="1" t="s">
        <v>20</v>
      </c>
      <c r="F407" s="1" t="s">
        <v>412</v>
      </c>
      <c r="G407" s="1" t="s">
        <v>53</v>
      </c>
      <c r="H407" s="1" t="s">
        <v>54</v>
      </c>
      <c r="I407" s="1" t="s">
        <v>710</v>
      </c>
      <c r="J407" s="2">
        <v>21</v>
      </c>
      <c r="K407" s="12">
        <v>908541.24</v>
      </c>
      <c r="L407" s="2">
        <v>687555.75</v>
      </c>
      <c r="M407" s="2">
        <v>0</v>
      </c>
      <c r="N407" s="12">
        <v>144386.71</v>
      </c>
      <c r="O407" s="2">
        <v>41781.15</v>
      </c>
      <c r="P407" s="2">
        <v>34817.629999999997</v>
      </c>
      <c r="Q407" s="2">
        <v>0</v>
      </c>
      <c r="R407" s="2">
        <v>0</v>
      </c>
      <c r="S407" s="8" t="str">
        <f t="shared" si="18"/>
        <v>30500529454026700907950</v>
      </c>
      <c r="T407" s="14">
        <f>IFERROR(VLOOKUP(S407,AFIP!$F$2:$R$999999,12,FALSE),"NO")</f>
        <v>3469539.22</v>
      </c>
      <c r="U407" s="10" t="str">
        <f t="shared" si="19"/>
        <v>NO</v>
      </c>
      <c r="V407" s="10">
        <f>IFERROR(VLOOKUP(S407,AFIP!$F$2:$R$999999,13,FALSE),"NO")</f>
        <v>20899843.329999998</v>
      </c>
      <c r="W407" s="1" t="str">
        <f t="shared" si="20"/>
        <v>NO</v>
      </c>
    </row>
    <row r="408" spans="1:23" hidden="1" x14ac:dyDescent="0.25">
      <c r="A408" s="1" t="s">
        <v>17</v>
      </c>
      <c r="B408" s="1" t="s">
        <v>18</v>
      </c>
      <c r="C408" s="1" t="s">
        <v>19</v>
      </c>
      <c r="D408" s="1">
        <v>30500529454</v>
      </c>
      <c r="E408" s="1" t="s">
        <v>20</v>
      </c>
      <c r="F408" s="1" t="s">
        <v>412</v>
      </c>
      <c r="G408" s="1" t="s">
        <v>53</v>
      </c>
      <c r="H408" s="1" t="s">
        <v>54</v>
      </c>
      <c r="I408" s="1" t="s">
        <v>711</v>
      </c>
      <c r="J408" s="2">
        <v>21</v>
      </c>
      <c r="K408" s="12">
        <v>30711000.600000001</v>
      </c>
      <c r="L408" s="2">
        <v>24304860.010000002</v>
      </c>
      <c r="M408" s="2">
        <v>0</v>
      </c>
      <c r="N408" s="12">
        <v>5104020.5999999996</v>
      </c>
      <c r="O408" s="2">
        <v>710247.27</v>
      </c>
      <c r="P408" s="2">
        <v>591872.73</v>
      </c>
      <c r="Q408" s="2">
        <v>-0.01</v>
      </c>
      <c r="R408" s="2">
        <v>0</v>
      </c>
      <c r="S408" s="8" t="str">
        <f t="shared" si="18"/>
        <v>30500529454026700907951</v>
      </c>
      <c r="T408" s="14">
        <f>IFERROR(VLOOKUP(S408,AFIP!$F$2:$R$999999,12,FALSE),"NO")</f>
        <v>5243542.74</v>
      </c>
      <c r="U408" s="10" t="str">
        <f t="shared" si="19"/>
        <v>NO</v>
      </c>
      <c r="V408" s="10">
        <f>IFERROR(VLOOKUP(S408,AFIP!$F$2:$R$999999,13,FALSE),"NO")</f>
        <v>31586102.710000001</v>
      </c>
      <c r="W408" s="1" t="str">
        <f t="shared" si="20"/>
        <v>NO</v>
      </c>
    </row>
    <row r="409" spans="1:23" hidden="1" x14ac:dyDescent="0.25">
      <c r="A409" s="1" t="s">
        <v>17</v>
      </c>
      <c r="B409" s="1" t="s">
        <v>18</v>
      </c>
      <c r="C409" s="1" t="s">
        <v>19</v>
      </c>
      <c r="D409" s="1">
        <v>30500529454</v>
      </c>
      <c r="E409" s="1" t="s">
        <v>20</v>
      </c>
      <c r="F409" s="1" t="s">
        <v>412</v>
      </c>
      <c r="G409" s="1" t="s">
        <v>53</v>
      </c>
      <c r="H409" s="1" t="s">
        <v>54</v>
      </c>
      <c r="I409" s="1" t="s">
        <v>711</v>
      </c>
      <c r="J409" s="2">
        <v>21</v>
      </c>
      <c r="K409" s="12">
        <v>875102.11</v>
      </c>
      <c r="L409" s="2">
        <v>664391.15</v>
      </c>
      <c r="M409" s="2">
        <v>0</v>
      </c>
      <c r="N409" s="12">
        <v>139522.14000000001</v>
      </c>
      <c r="O409" s="2">
        <v>38830.26</v>
      </c>
      <c r="P409" s="2">
        <v>32358.55</v>
      </c>
      <c r="Q409" s="2">
        <v>0.01</v>
      </c>
      <c r="R409" s="2">
        <v>0</v>
      </c>
      <c r="S409" s="8" t="str">
        <f t="shared" si="18"/>
        <v>30500529454026700907951</v>
      </c>
      <c r="T409" s="14">
        <f>IFERROR(VLOOKUP(S409,AFIP!$F$2:$R$999999,12,FALSE),"NO")</f>
        <v>5243542.74</v>
      </c>
      <c r="U409" s="10" t="str">
        <f t="shared" si="19"/>
        <v>NO</v>
      </c>
      <c r="V409" s="10">
        <f>IFERROR(VLOOKUP(S409,AFIP!$F$2:$R$999999,13,FALSE),"NO")</f>
        <v>31586102.710000001</v>
      </c>
      <c r="W409" s="1" t="str">
        <f t="shared" si="20"/>
        <v>NO</v>
      </c>
    </row>
    <row r="410" spans="1:23" hidden="1" x14ac:dyDescent="0.25">
      <c r="A410" s="1" t="s">
        <v>117</v>
      </c>
      <c r="B410" s="1" t="s">
        <v>1136</v>
      </c>
      <c r="C410" s="1" t="s">
        <v>19</v>
      </c>
      <c r="D410" s="1">
        <v>30639453738</v>
      </c>
      <c r="E410" s="1" t="s">
        <v>20</v>
      </c>
      <c r="F410" s="1" t="s">
        <v>412</v>
      </c>
      <c r="G410" s="1" t="s">
        <v>53</v>
      </c>
      <c r="H410" s="1" t="s">
        <v>54</v>
      </c>
      <c r="I410" s="1" t="s">
        <v>1137</v>
      </c>
      <c r="J410" s="2">
        <v>21</v>
      </c>
      <c r="K410" s="12">
        <v>69471</v>
      </c>
      <c r="L410" s="2">
        <v>56025</v>
      </c>
      <c r="M410" s="2">
        <v>0</v>
      </c>
      <c r="N410" s="12">
        <v>11765.25</v>
      </c>
      <c r="O410" s="2">
        <v>1680.75</v>
      </c>
      <c r="P410" s="2">
        <v>0</v>
      </c>
      <c r="Q410" s="2">
        <v>0</v>
      </c>
      <c r="R410" s="2">
        <v>0</v>
      </c>
      <c r="S410" s="8" t="str">
        <f t="shared" si="18"/>
        <v>30639453738426406127492</v>
      </c>
      <c r="T410" s="14">
        <f>IFERROR(VLOOKUP(S410,AFIP!$F$2:$R$999999,12,FALSE),"NO")</f>
        <v>11765.25</v>
      </c>
      <c r="U410" s="10" t="str">
        <f t="shared" si="19"/>
        <v>SI</v>
      </c>
      <c r="V410" s="10">
        <f>IFERROR(VLOOKUP(S410,AFIP!$F$2:$R$999999,13,FALSE),"NO")</f>
        <v>69471</v>
      </c>
      <c r="W410" s="1" t="str">
        <f t="shared" si="20"/>
        <v>SI</v>
      </c>
    </row>
    <row r="411" spans="1:23" hidden="1" x14ac:dyDescent="0.25">
      <c r="A411" s="1" t="s">
        <v>117</v>
      </c>
      <c r="B411" s="1" t="s">
        <v>1136</v>
      </c>
      <c r="C411" s="1" t="s">
        <v>19</v>
      </c>
      <c r="D411" s="1">
        <v>30639453738</v>
      </c>
      <c r="E411" s="1" t="s">
        <v>20</v>
      </c>
      <c r="F411" s="1" t="s">
        <v>412</v>
      </c>
      <c r="G411" s="1" t="s">
        <v>53</v>
      </c>
      <c r="H411" s="1" t="s">
        <v>54</v>
      </c>
      <c r="I411" s="1" t="s">
        <v>1138</v>
      </c>
      <c r="J411" s="2">
        <v>21</v>
      </c>
      <c r="K411" s="12">
        <v>257535.6</v>
      </c>
      <c r="L411" s="2">
        <v>207690</v>
      </c>
      <c r="M411" s="2">
        <v>0</v>
      </c>
      <c r="N411" s="12">
        <v>43614.9</v>
      </c>
      <c r="O411" s="2">
        <v>6230.7</v>
      </c>
      <c r="P411" s="2">
        <v>0</v>
      </c>
      <c r="Q411" s="2">
        <v>0</v>
      </c>
      <c r="R411" s="2">
        <v>0</v>
      </c>
      <c r="S411" s="8" t="str">
        <f t="shared" si="18"/>
        <v>30639453738426406134179</v>
      </c>
      <c r="T411" s="14">
        <f>IFERROR(VLOOKUP(S411,AFIP!$F$2:$R$999999,12,FALSE),"NO")</f>
        <v>43614.9</v>
      </c>
      <c r="U411" s="10" t="str">
        <f t="shared" si="19"/>
        <v>SI</v>
      </c>
      <c r="V411" s="10">
        <f>IFERROR(VLOOKUP(S411,AFIP!$F$2:$R$999999,13,FALSE),"NO")</f>
        <v>257535.6</v>
      </c>
      <c r="W411" s="1" t="str">
        <f t="shared" si="20"/>
        <v>SI</v>
      </c>
    </row>
    <row r="412" spans="1:23" hidden="1" x14ac:dyDescent="0.25">
      <c r="A412" s="1" t="s">
        <v>117</v>
      </c>
      <c r="B412" s="1" t="s">
        <v>1136</v>
      </c>
      <c r="C412" s="1" t="s">
        <v>19</v>
      </c>
      <c r="D412" s="1">
        <v>30639453738</v>
      </c>
      <c r="E412" s="1" t="s">
        <v>20</v>
      </c>
      <c r="F412" s="1" t="s">
        <v>412</v>
      </c>
      <c r="G412" s="1" t="s">
        <v>53</v>
      </c>
      <c r="H412" s="1" t="s">
        <v>54</v>
      </c>
      <c r="I412" s="1" t="s">
        <v>1139</v>
      </c>
      <c r="J412" s="2">
        <v>21</v>
      </c>
      <c r="K412" s="12">
        <v>69471</v>
      </c>
      <c r="L412" s="2">
        <v>56025</v>
      </c>
      <c r="M412" s="2">
        <v>0</v>
      </c>
      <c r="N412" s="12">
        <v>11765.25</v>
      </c>
      <c r="O412" s="2">
        <v>1680.75</v>
      </c>
      <c r="P412" s="2">
        <v>0</v>
      </c>
      <c r="Q412" s="2">
        <v>0</v>
      </c>
      <c r="R412" s="2">
        <v>0</v>
      </c>
      <c r="S412" s="8" t="str">
        <f t="shared" si="18"/>
        <v>30639453738426406145012</v>
      </c>
      <c r="T412" s="14">
        <f>IFERROR(VLOOKUP(S412,AFIP!$F$2:$R$999999,12,FALSE),"NO")</f>
        <v>11765.25</v>
      </c>
      <c r="U412" s="10" t="str">
        <f t="shared" si="19"/>
        <v>SI</v>
      </c>
      <c r="V412" s="10">
        <f>IFERROR(VLOOKUP(S412,AFIP!$F$2:$R$999999,13,FALSE),"NO")</f>
        <v>69471</v>
      </c>
      <c r="W412" s="1" t="str">
        <f t="shared" si="20"/>
        <v>SI</v>
      </c>
    </row>
    <row r="413" spans="1:23" hidden="1" x14ac:dyDescent="0.25">
      <c r="A413" s="1" t="s">
        <v>117</v>
      </c>
      <c r="B413" s="1" t="s">
        <v>1136</v>
      </c>
      <c r="C413" s="1" t="s">
        <v>19</v>
      </c>
      <c r="D413" s="1">
        <v>30639453738</v>
      </c>
      <c r="E413" s="1" t="s">
        <v>20</v>
      </c>
      <c r="F413" s="1" t="s">
        <v>412</v>
      </c>
      <c r="G413" s="1" t="s">
        <v>53</v>
      </c>
      <c r="H413" s="1" t="s">
        <v>54</v>
      </c>
      <c r="I413" s="1" t="s">
        <v>1140</v>
      </c>
      <c r="J413" s="2">
        <v>21</v>
      </c>
      <c r="K413" s="12">
        <v>55576.800000000003</v>
      </c>
      <c r="L413" s="2">
        <v>44820</v>
      </c>
      <c r="M413" s="2">
        <v>0</v>
      </c>
      <c r="N413" s="12">
        <v>9412.2000000000007</v>
      </c>
      <c r="O413" s="2">
        <v>1344.6</v>
      </c>
      <c r="P413" s="2">
        <v>0</v>
      </c>
      <c r="Q413" s="2">
        <v>0</v>
      </c>
      <c r="R413" s="2">
        <v>0</v>
      </c>
      <c r="S413" s="8" t="str">
        <f t="shared" si="18"/>
        <v>30639453738426406146533</v>
      </c>
      <c r="T413" s="14">
        <f>IFERROR(VLOOKUP(S413,AFIP!$F$2:$R$999999,12,FALSE),"NO")</f>
        <v>9412.2000000000007</v>
      </c>
      <c r="U413" s="10" t="str">
        <f t="shared" si="19"/>
        <v>SI</v>
      </c>
      <c r="V413" s="10">
        <f>IFERROR(VLOOKUP(S413,AFIP!$F$2:$R$999999,13,FALSE),"NO")</f>
        <v>55576.800000000003</v>
      </c>
      <c r="W413" s="1" t="str">
        <f t="shared" si="20"/>
        <v>SI</v>
      </c>
    </row>
    <row r="414" spans="1:23" hidden="1" x14ac:dyDescent="0.25">
      <c r="A414" s="1" t="s">
        <v>117</v>
      </c>
      <c r="B414" s="1" t="s">
        <v>1136</v>
      </c>
      <c r="C414" s="1" t="s">
        <v>19</v>
      </c>
      <c r="D414" s="1">
        <v>30639453738</v>
      </c>
      <c r="E414" s="1" t="s">
        <v>20</v>
      </c>
      <c r="F414" s="1" t="s">
        <v>412</v>
      </c>
      <c r="G414" s="1" t="s">
        <v>53</v>
      </c>
      <c r="H414" s="1" t="s">
        <v>54</v>
      </c>
      <c r="I414" s="1" t="s">
        <v>1141</v>
      </c>
      <c r="J414" s="2">
        <v>21</v>
      </c>
      <c r="K414" s="12">
        <v>55186.2</v>
      </c>
      <c r="L414" s="2">
        <v>44505</v>
      </c>
      <c r="M414" s="2">
        <v>0</v>
      </c>
      <c r="N414" s="12">
        <v>9346.0499999999993</v>
      </c>
      <c r="O414" s="2">
        <v>1335.15</v>
      </c>
      <c r="P414" s="2">
        <v>0</v>
      </c>
      <c r="Q414" s="2">
        <v>0</v>
      </c>
      <c r="R414" s="2">
        <v>0</v>
      </c>
      <c r="S414" s="8" t="str">
        <f t="shared" si="18"/>
        <v>30639453738426406153564</v>
      </c>
      <c r="T414" s="14">
        <f>IFERROR(VLOOKUP(S414,AFIP!$F$2:$R$999999,12,FALSE),"NO")</f>
        <v>9346.0499999999993</v>
      </c>
      <c r="U414" s="10" t="str">
        <f t="shared" si="19"/>
        <v>SI</v>
      </c>
      <c r="V414" s="10">
        <f>IFERROR(VLOOKUP(S414,AFIP!$F$2:$R$999999,13,FALSE),"NO")</f>
        <v>55186.2</v>
      </c>
      <c r="W414" s="1" t="str">
        <f t="shared" si="20"/>
        <v>SI</v>
      </c>
    </row>
    <row r="415" spans="1:23" hidden="1" x14ac:dyDescent="0.25">
      <c r="A415" s="1" t="s">
        <v>117</v>
      </c>
      <c r="B415" s="1" t="s">
        <v>1136</v>
      </c>
      <c r="C415" s="1" t="s">
        <v>19</v>
      </c>
      <c r="D415" s="1">
        <v>30639453738</v>
      </c>
      <c r="E415" s="1" t="s">
        <v>20</v>
      </c>
      <c r="F415" s="1" t="s">
        <v>412</v>
      </c>
      <c r="G415" s="1" t="s">
        <v>53</v>
      </c>
      <c r="H415" s="1" t="s">
        <v>54</v>
      </c>
      <c r="I415" s="1" t="s">
        <v>1142</v>
      </c>
      <c r="J415" s="2">
        <v>21</v>
      </c>
      <c r="K415" s="12">
        <v>66910.399999999994</v>
      </c>
      <c r="L415" s="2">
        <v>53960</v>
      </c>
      <c r="M415" s="2">
        <v>0</v>
      </c>
      <c r="N415" s="12">
        <v>11331.6</v>
      </c>
      <c r="O415" s="2">
        <v>1618.8</v>
      </c>
      <c r="P415" s="2">
        <v>0</v>
      </c>
      <c r="Q415" s="2">
        <v>0</v>
      </c>
      <c r="R415" s="2">
        <v>0</v>
      </c>
      <c r="S415" s="8" t="str">
        <f t="shared" si="18"/>
        <v>30639453738426406155565</v>
      </c>
      <c r="T415" s="14">
        <f>IFERROR(VLOOKUP(S415,AFIP!$F$2:$R$999999,12,FALSE),"NO")</f>
        <v>11331.6</v>
      </c>
      <c r="U415" s="10" t="str">
        <f t="shared" si="19"/>
        <v>SI</v>
      </c>
      <c r="V415" s="10">
        <f>IFERROR(VLOOKUP(S415,AFIP!$F$2:$R$999999,13,FALSE),"NO")</f>
        <v>66910.399999999994</v>
      </c>
      <c r="W415" s="1" t="str">
        <f t="shared" si="20"/>
        <v>SI</v>
      </c>
    </row>
    <row r="416" spans="1:23" hidden="1" x14ac:dyDescent="0.25">
      <c r="A416" s="1" t="s">
        <v>117</v>
      </c>
      <c r="B416" s="1" t="s">
        <v>1136</v>
      </c>
      <c r="C416" s="1" t="s">
        <v>19</v>
      </c>
      <c r="D416" s="1">
        <v>30639453738</v>
      </c>
      <c r="E416" s="1" t="s">
        <v>20</v>
      </c>
      <c r="F416" s="1" t="s">
        <v>412</v>
      </c>
      <c r="G416" s="1" t="s">
        <v>53</v>
      </c>
      <c r="H416" s="1" t="s">
        <v>54</v>
      </c>
      <c r="I416" s="1" t="s">
        <v>1143</v>
      </c>
      <c r="J416" s="2">
        <v>21</v>
      </c>
      <c r="K416" s="12">
        <v>55576.800000000003</v>
      </c>
      <c r="L416" s="2">
        <v>44820</v>
      </c>
      <c r="M416" s="2">
        <v>0</v>
      </c>
      <c r="N416" s="12">
        <v>9412.2000000000007</v>
      </c>
      <c r="O416" s="2">
        <v>1344.6</v>
      </c>
      <c r="P416" s="2">
        <v>0</v>
      </c>
      <c r="Q416" s="2">
        <v>0</v>
      </c>
      <c r="R416" s="2">
        <v>0</v>
      </c>
      <c r="S416" s="8" t="str">
        <f t="shared" si="18"/>
        <v>30639453738426406160351</v>
      </c>
      <c r="T416" s="14">
        <f>IFERROR(VLOOKUP(S416,AFIP!$F$2:$R$999999,12,FALSE),"NO")</f>
        <v>9412.2000000000007</v>
      </c>
      <c r="U416" s="10" t="str">
        <f t="shared" si="19"/>
        <v>SI</v>
      </c>
      <c r="V416" s="10">
        <f>IFERROR(VLOOKUP(S416,AFIP!$F$2:$R$999999,13,FALSE),"NO")</f>
        <v>55576.800000000003</v>
      </c>
      <c r="W416" s="1" t="str">
        <f t="shared" si="20"/>
        <v>SI</v>
      </c>
    </row>
    <row r="417" spans="1:23" hidden="1" x14ac:dyDescent="0.25">
      <c r="A417" s="1" t="s">
        <v>712</v>
      </c>
      <c r="B417" s="1" t="s">
        <v>713</v>
      </c>
      <c r="C417" s="1" t="s">
        <v>19</v>
      </c>
      <c r="D417" s="1">
        <v>27233904738</v>
      </c>
      <c r="E417" s="1" t="s">
        <v>58</v>
      </c>
      <c r="F417" s="1" t="s">
        <v>412</v>
      </c>
      <c r="G417" s="1" t="s">
        <v>53</v>
      </c>
      <c r="H417" s="1" t="s">
        <v>59</v>
      </c>
      <c r="I417" s="1" t="s">
        <v>714</v>
      </c>
      <c r="J417" s="2">
        <v>0</v>
      </c>
      <c r="K417" s="12">
        <v>1691500</v>
      </c>
      <c r="L417" s="2">
        <v>0</v>
      </c>
      <c r="M417" s="2">
        <v>1691500</v>
      </c>
      <c r="N417" s="12">
        <v>0</v>
      </c>
      <c r="O417" s="2">
        <v>0</v>
      </c>
      <c r="P417" s="2">
        <v>0</v>
      </c>
      <c r="Q417" s="2">
        <v>0</v>
      </c>
      <c r="R417" s="2">
        <v>0</v>
      </c>
      <c r="S417" s="8" t="str">
        <f t="shared" si="18"/>
        <v>27233904738000200000042</v>
      </c>
      <c r="T417" s="14">
        <f>IFERROR(VLOOKUP(S417,AFIP!$F$2:$R$999999,12,FALSE),"NO")</f>
        <v>0</v>
      </c>
      <c r="U417" s="10" t="str">
        <f t="shared" si="19"/>
        <v>SI</v>
      </c>
      <c r="V417" s="10">
        <f>IFERROR(VLOOKUP(S417,AFIP!$F$2:$R$999999,13,FALSE),"NO")</f>
        <v>1691500</v>
      </c>
      <c r="W417" s="1" t="str">
        <f t="shared" si="20"/>
        <v>SI</v>
      </c>
    </row>
    <row r="418" spans="1:23" hidden="1" x14ac:dyDescent="0.25">
      <c r="A418" s="1" t="s">
        <v>131</v>
      </c>
      <c r="B418" s="1" t="s">
        <v>132</v>
      </c>
      <c r="C418" s="1" t="s">
        <v>19</v>
      </c>
      <c r="D418" s="1">
        <v>30708506237</v>
      </c>
      <c r="E418" s="1" t="s">
        <v>20</v>
      </c>
      <c r="F418" s="1" t="s">
        <v>414</v>
      </c>
      <c r="G418" s="1" t="s">
        <v>53</v>
      </c>
      <c r="H418" s="1" t="s">
        <v>54</v>
      </c>
      <c r="I418" s="1" t="s">
        <v>715</v>
      </c>
      <c r="J418" s="2">
        <v>21</v>
      </c>
      <c r="K418" s="12">
        <v>62198.69</v>
      </c>
      <c r="L418" s="2">
        <v>51403.88</v>
      </c>
      <c r="M418" s="2">
        <v>0</v>
      </c>
      <c r="N418" s="12">
        <v>10794.82</v>
      </c>
      <c r="O418" s="2">
        <v>0</v>
      </c>
      <c r="P418" s="2">
        <v>0</v>
      </c>
      <c r="Q418" s="2">
        <v>-0.01</v>
      </c>
      <c r="R418" s="2">
        <v>0</v>
      </c>
      <c r="S418" s="8" t="str">
        <f t="shared" si="18"/>
        <v>30708506237000200066293</v>
      </c>
      <c r="T418" s="14">
        <f>IFERROR(VLOOKUP(S418,AFIP!$F$2:$R$999999,12,FALSE),"NO")</f>
        <v>10794.81</v>
      </c>
      <c r="U418" s="10" t="str">
        <f t="shared" si="19"/>
        <v>NO</v>
      </c>
      <c r="V418" s="10">
        <f>IFERROR(VLOOKUP(S418,AFIP!$F$2:$R$999999,13,FALSE),"NO")</f>
        <v>62198.69</v>
      </c>
      <c r="W418" s="1" t="str">
        <f t="shared" si="20"/>
        <v>SI</v>
      </c>
    </row>
    <row r="419" spans="1:23" hidden="1" x14ac:dyDescent="0.25">
      <c r="A419" s="1" t="s">
        <v>1048</v>
      </c>
      <c r="B419" s="1" t="s">
        <v>62</v>
      </c>
      <c r="C419" s="1" t="s">
        <v>19</v>
      </c>
      <c r="D419" s="1">
        <v>20162895142</v>
      </c>
      <c r="E419" s="1" t="s">
        <v>20</v>
      </c>
      <c r="F419" s="1" t="s">
        <v>414</v>
      </c>
      <c r="G419" s="1" t="s">
        <v>53</v>
      </c>
      <c r="H419" s="1" t="s">
        <v>54</v>
      </c>
      <c r="I419" s="1" t="s">
        <v>1144</v>
      </c>
      <c r="J419" s="2">
        <v>21</v>
      </c>
      <c r="K419" s="12">
        <v>46200</v>
      </c>
      <c r="L419" s="2">
        <v>38181.82</v>
      </c>
      <c r="M419" s="2">
        <v>0</v>
      </c>
      <c r="N419" s="12">
        <v>8018.18</v>
      </c>
      <c r="O419" s="2">
        <v>0</v>
      </c>
      <c r="P419" s="2">
        <v>0</v>
      </c>
      <c r="Q419" s="2">
        <v>0</v>
      </c>
      <c r="R419" s="2">
        <v>0</v>
      </c>
      <c r="S419" s="8" t="str">
        <f t="shared" si="18"/>
        <v>20162895142000300001539</v>
      </c>
      <c r="T419" s="14">
        <f>IFERROR(VLOOKUP(S419,AFIP!$F$2:$R$999999,12,FALSE),"NO")</f>
        <v>8018.18</v>
      </c>
      <c r="U419" s="10" t="str">
        <f t="shared" si="19"/>
        <v>SI</v>
      </c>
      <c r="V419" s="10">
        <f>IFERROR(VLOOKUP(S419,AFIP!$F$2:$R$999999,13,FALSE),"NO")</f>
        <v>46200</v>
      </c>
      <c r="W419" s="1" t="str">
        <f t="shared" si="20"/>
        <v>SI</v>
      </c>
    </row>
    <row r="420" spans="1:23" hidden="1" x14ac:dyDescent="0.25">
      <c r="A420" s="1" t="s">
        <v>1145</v>
      </c>
      <c r="B420" s="1" t="s">
        <v>916</v>
      </c>
      <c r="C420" s="1" t="s">
        <v>19</v>
      </c>
      <c r="D420" s="1">
        <v>20167960252</v>
      </c>
      <c r="E420" s="1" t="s">
        <v>20</v>
      </c>
      <c r="F420" s="1" t="s">
        <v>414</v>
      </c>
      <c r="G420" s="1" t="s">
        <v>53</v>
      </c>
      <c r="H420" s="1" t="s">
        <v>54</v>
      </c>
      <c r="I420" s="1" t="s">
        <v>1146</v>
      </c>
      <c r="J420" s="2">
        <v>21</v>
      </c>
      <c r="K420" s="12">
        <v>33000</v>
      </c>
      <c r="L420" s="2">
        <v>27272.73</v>
      </c>
      <c r="M420" s="2">
        <v>0</v>
      </c>
      <c r="N420" s="12">
        <v>5727.27</v>
      </c>
      <c r="O420" s="2">
        <v>0</v>
      </c>
      <c r="P420" s="2">
        <v>0</v>
      </c>
      <c r="Q420" s="2">
        <v>0</v>
      </c>
      <c r="R420" s="2">
        <v>0</v>
      </c>
      <c r="S420" s="8" t="str">
        <f t="shared" si="18"/>
        <v>20167960252000400001608</v>
      </c>
      <c r="T420" s="14">
        <f>IFERROR(VLOOKUP(S420,AFIP!$F$2:$R$999999,12,FALSE),"NO")</f>
        <v>5727.27</v>
      </c>
      <c r="U420" s="10" t="str">
        <f t="shared" si="19"/>
        <v>SI</v>
      </c>
      <c r="V420" s="10">
        <f>IFERROR(VLOOKUP(S420,AFIP!$F$2:$R$999999,13,FALSE),"NO")</f>
        <v>33000</v>
      </c>
      <c r="W420" s="1" t="str">
        <f t="shared" si="20"/>
        <v>SI</v>
      </c>
    </row>
    <row r="421" spans="1:23" hidden="1" x14ac:dyDescent="0.25">
      <c r="A421" s="1" t="s">
        <v>229</v>
      </c>
      <c r="B421" s="1" t="s">
        <v>230</v>
      </c>
      <c r="C421" s="1" t="s">
        <v>19</v>
      </c>
      <c r="D421" s="1">
        <v>20335001932</v>
      </c>
      <c r="E421" s="1" t="s">
        <v>20</v>
      </c>
      <c r="F421" s="1" t="s">
        <v>414</v>
      </c>
      <c r="G421" s="1" t="s">
        <v>53</v>
      </c>
      <c r="H421" s="1" t="s">
        <v>54</v>
      </c>
      <c r="I421" s="1" t="s">
        <v>716</v>
      </c>
      <c r="J421" s="2">
        <v>21</v>
      </c>
      <c r="K421" s="12">
        <v>20500</v>
      </c>
      <c r="L421" s="2">
        <v>16942.150000000001</v>
      </c>
      <c r="M421" s="2">
        <v>0</v>
      </c>
      <c r="N421" s="12">
        <v>3557.85</v>
      </c>
      <c r="O421" s="2">
        <v>0</v>
      </c>
      <c r="P421" s="2">
        <v>0</v>
      </c>
      <c r="Q421" s="2">
        <v>0</v>
      </c>
      <c r="R421" s="2">
        <v>0</v>
      </c>
      <c r="S421" s="8" t="str">
        <f t="shared" si="18"/>
        <v>20335001932000400002670</v>
      </c>
      <c r="T421" s="14">
        <f>IFERROR(VLOOKUP(S421,AFIP!$F$2:$R$999999,12,FALSE),"NO")</f>
        <v>3557.85</v>
      </c>
      <c r="U421" s="10" t="str">
        <f t="shared" si="19"/>
        <v>SI</v>
      </c>
      <c r="V421" s="10">
        <f>IFERROR(VLOOKUP(S421,AFIP!$F$2:$R$999999,13,FALSE),"NO")</f>
        <v>20500</v>
      </c>
      <c r="W421" s="1" t="str">
        <f t="shared" si="20"/>
        <v>SI</v>
      </c>
    </row>
    <row r="422" spans="1:23" hidden="1" x14ac:dyDescent="0.25">
      <c r="A422" s="1" t="s">
        <v>76</v>
      </c>
      <c r="B422" s="1" t="s">
        <v>77</v>
      </c>
      <c r="C422" s="1" t="s">
        <v>19</v>
      </c>
      <c r="D422" s="1">
        <v>20128307746</v>
      </c>
      <c r="E422" s="1" t="s">
        <v>20</v>
      </c>
      <c r="F422" s="1" t="s">
        <v>414</v>
      </c>
      <c r="G422" s="1" t="s">
        <v>53</v>
      </c>
      <c r="H422" s="1" t="s">
        <v>54</v>
      </c>
      <c r="I422" s="1" t="s">
        <v>717</v>
      </c>
      <c r="J422" s="2">
        <v>10.5</v>
      </c>
      <c r="K422" s="12">
        <v>50427.61</v>
      </c>
      <c r="L422" s="2">
        <v>45635.85</v>
      </c>
      <c r="M422" s="2">
        <v>0</v>
      </c>
      <c r="N422" s="12">
        <v>4791.76</v>
      </c>
      <c r="O422" s="2">
        <v>0</v>
      </c>
      <c r="P422" s="2">
        <v>0</v>
      </c>
      <c r="Q422" s="2">
        <v>0</v>
      </c>
      <c r="R422" s="2">
        <v>0</v>
      </c>
      <c r="S422" s="8" t="str">
        <f t="shared" si="18"/>
        <v>20128307746000400024314</v>
      </c>
      <c r="T422" s="14">
        <f>IFERROR(VLOOKUP(S422,AFIP!$F$2:$R$999999,12,FALSE),"NO")</f>
        <v>4791.76</v>
      </c>
      <c r="U422" s="10" t="str">
        <f t="shared" si="19"/>
        <v>SI</v>
      </c>
      <c r="V422" s="10">
        <f>IFERROR(VLOOKUP(S422,AFIP!$F$2:$R$999999,13,FALSE),"NO")</f>
        <v>50427.61</v>
      </c>
      <c r="W422" s="1" t="str">
        <f t="shared" si="20"/>
        <v>SI</v>
      </c>
    </row>
    <row r="423" spans="1:23" hidden="1" x14ac:dyDescent="0.25">
      <c r="A423" s="1" t="s">
        <v>141</v>
      </c>
      <c r="B423" s="1" t="s">
        <v>142</v>
      </c>
      <c r="C423" s="1" t="s">
        <v>19</v>
      </c>
      <c r="D423" s="1">
        <v>30681965854</v>
      </c>
      <c r="E423" s="1" t="s">
        <v>20</v>
      </c>
      <c r="F423" s="1" t="s">
        <v>414</v>
      </c>
      <c r="G423" s="1" t="s">
        <v>53</v>
      </c>
      <c r="H423" s="1" t="s">
        <v>54</v>
      </c>
      <c r="I423" s="1" t="s">
        <v>718</v>
      </c>
      <c r="J423" s="2">
        <v>0</v>
      </c>
      <c r="K423" s="12">
        <v>89790.99</v>
      </c>
      <c r="L423" s="2">
        <v>0</v>
      </c>
      <c r="M423" s="2">
        <v>89790.99</v>
      </c>
      <c r="N423" s="12">
        <v>0</v>
      </c>
      <c r="O423" s="2">
        <v>0</v>
      </c>
      <c r="P423" s="2">
        <v>0</v>
      </c>
      <c r="Q423" s="2">
        <v>0</v>
      </c>
      <c r="R423" s="2">
        <v>0</v>
      </c>
      <c r="S423" s="8" t="str">
        <f t="shared" si="18"/>
        <v>30681965854000400026096</v>
      </c>
      <c r="T423" s="14">
        <f>IFERROR(VLOOKUP(S423,AFIP!$F$2:$R$999999,12,FALSE),"NO")</f>
        <v>0</v>
      </c>
      <c r="U423" s="10" t="str">
        <f t="shared" si="19"/>
        <v>SI</v>
      </c>
      <c r="V423" s="10">
        <f>IFERROR(VLOOKUP(S423,AFIP!$F$2:$R$999999,13,FALSE),"NO")</f>
        <v>89790.99</v>
      </c>
      <c r="W423" s="1" t="str">
        <f t="shared" si="20"/>
        <v>SI</v>
      </c>
    </row>
    <row r="424" spans="1:23" hidden="1" x14ac:dyDescent="0.25">
      <c r="A424" s="1" t="s">
        <v>141</v>
      </c>
      <c r="B424" s="1" t="s">
        <v>142</v>
      </c>
      <c r="C424" s="1" t="s">
        <v>19</v>
      </c>
      <c r="D424" s="1">
        <v>30681965854</v>
      </c>
      <c r="E424" s="1" t="s">
        <v>20</v>
      </c>
      <c r="F424" s="1" t="s">
        <v>414</v>
      </c>
      <c r="G424" s="1" t="s">
        <v>53</v>
      </c>
      <c r="H424" s="1" t="s">
        <v>54</v>
      </c>
      <c r="I424" s="1" t="s">
        <v>719</v>
      </c>
      <c r="J424" s="2">
        <v>21</v>
      </c>
      <c r="K424" s="12">
        <v>1170506.99</v>
      </c>
      <c r="L424" s="2">
        <v>967361.15</v>
      </c>
      <c r="M424" s="2">
        <v>0</v>
      </c>
      <c r="N424" s="12">
        <v>203145.84</v>
      </c>
      <c r="O424" s="2">
        <v>0</v>
      </c>
      <c r="P424" s="2">
        <v>0</v>
      </c>
      <c r="Q424" s="2">
        <v>0</v>
      </c>
      <c r="R424" s="2">
        <v>0</v>
      </c>
      <c r="S424" s="8" t="str">
        <f t="shared" si="18"/>
        <v>30681965854000400026097</v>
      </c>
      <c r="T424" s="14">
        <f>IFERROR(VLOOKUP(S424,AFIP!$F$2:$R$999999,12,FALSE),"NO")</f>
        <v>203145.84</v>
      </c>
      <c r="U424" s="10" t="str">
        <f t="shared" si="19"/>
        <v>SI</v>
      </c>
      <c r="V424" s="10">
        <f>IFERROR(VLOOKUP(S424,AFIP!$F$2:$R$999999,13,FALSE),"NO")</f>
        <v>1273845.6499999999</v>
      </c>
      <c r="W424" s="1" t="str">
        <f t="shared" si="20"/>
        <v>NO</v>
      </c>
    </row>
    <row r="425" spans="1:23" hidden="1" x14ac:dyDescent="0.25">
      <c r="A425" s="1" t="s">
        <v>141</v>
      </c>
      <c r="B425" s="1" t="s">
        <v>142</v>
      </c>
      <c r="C425" s="1" t="s">
        <v>19</v>
      </c>
      <c r="D425" s="1">
        <v>30681965854</v>
      </c>
      <c r="E425" s="1" t="s">
        <v>20</v>
      </c>
      <c r="F425" s="1" t="s">
        <v>414</v>
      </c>
      <c r="G425" s="1" t="s">
        <v>53</v>
      </c>
      <c r="H425" s="1" t="s">
        <v>54</v>
      </c>
      <c r="I425" s="1" t="s">
        <v>719</v>
      </c>
      <c r="J425" s="2">
        <v>0</v>
      </c>
      <c r="K425" s="12">
        <v>103338.66</v>
      </c>
      <c r="L425" s="2">
        <v>0</v>
      </c>
      <c r="M425" s="2">
        <v>103338.66</v>
      </c>
      <c r="N425" s="12">
        <v>0</v>
      </c>
      <c r="O425" s="2">
        <v>0</v>
      </c>
      <c r="P425" s="2">
        <v>0</v>
      </c>
      <c r="Q425" s="2">
        <v>0</v>
      </c>
      <c r="R425" s="2">
        <v>0</v>
      </c>
      <c r="S425" s="8" t="str">
        <f t="shared" si="18"/>
        <v>30681965854000400026097</v>
      </c>
      <c r="T425" s="14">
        <f>IFERROR(VLOOKUP(S425,AFIP!$F$2:$R$999999,12,FALSE),"NO")</f>
        <v>203145.84</v>
      </c>
      <c r="U425" s="10" t="str">
        <f t="shared" si="19"/>
        <v>NO</v>
      </c>
      <c r="V425" s="10">
        <f>IFERROR(VLOOKUP(S425,AFIP!$F$2:$R$999999,13,FALSE),"NO")</f>
        <v>1273845.6499999999</v>
      </c>
      <c r="W425" s="1" t="str">
        <f t="shared" si="20"/>
        <v>NO</v>
      </c>
    </row>
    <row r="426" spans="1:23" hidden="1" x14ac:dyDescent="0.25">
      <c r="A426" s="1" t="s">
        <v>133</v>
      </c>
      <c r="B426" s="1" t="s">
        <v>134</v>
      </c>
      <c r="C426" s="1" t="s">
        <v>19</v>
      </c>
      <c r="D426" s="1">
        <v>30682681108</v>
      </c>
      <c r="E426" s="1" t="s">
        <v>20</v>
      </c>
      <c r="F426" s="1" t="s">
        <v>414</v>
      </c>
      <c r="G426" s="1" t="s">
        <v>53</v>
      </c>
      <c r="H426" s="1" t="s">
        <v>54</v>
      </c>
      <c r="I426" s="1" t="s">
        <v>720</v>
      </c>
      <c r="J426" s="2">
        <v>21</v>
      </c>
      <c r="K426" s="12">
        <v>1946363.23</v>
      </c>
      <c r="L426" s="2">
        <v>1608559.93</v>
      </c>
      <c r="M426" s="2">
        <v>0</v>
      </c>
      <c r="N426" s="12">
        <v>337803.85</v>
      </c>
      <c r="O426" s="2">
        <v>0</v>
      </c>
      <c r="P426" s="2">
        <v>0</v>
      </c>
      <c r="Q426" s="2">
        <v>-0.55000000000000004</v>
      </c>
      <c r="R426" s="2">
        <v>0</v>
      </c>
      <c r="S426" s="8" t="str">
        <f t="shared" si="18"/>
        <v>30682681108001000016796</v>
      </c>
      <c r="T426" s="14">
        <f>IFERROR(VLOOKUP(S426,AFIP!$F$2:$R$999999,12,FALSE),"NO")</f>
        <v>243.55</v>
      </c>
      <c r="U426" s="10" t="str">
        <f t="shared" si="19"/>
        <v>NO</v>
      </c>
      <c r="V426" s="10">
        <f>IFERROR(VLOOKUP(S426,AFIP!$F$2:$R$999999,13,FALSE),"NO")</f>
        <v>1403.31</v>
      </c>
      <c r="W426" s="1" t="str">
        <f t="shared" si="20"/>
        <v>NO</v>
      </c>
    </row>
    <row r="427" spans="1:23" x14ac:dyDescent="0.25">
      <c r="A427" s="1" t="s">
        <v>1147</v>
      </c>
      <c r="B427" s="1" t="s">
        <v>1148</v>
      </c>
      <c r="C427" s="1" t="s">
        <v>19</v>
      </c>
      <c r="D427" s="1">
        <v>30710951949</v>
      </c>
      <c r="E427" s="1" t="s">
        <v>20</v>
      </c>
      <c r="F427" s="1" t="s">
        <v>414</v>
      </c>
      <c r="G427" s="1" t="s">
        <v>53</v>
      </c>
      <c r="H427" s="1" t="s">
        <v>54</v>
      </c>
      <c r="I427" s="1" t="s">
        <v>1149</v>
      </c>
      <c r="J427" s="2">
        <v>21</v>
      </c>
      <c r="K427" s="12">
        <v>18959.77</v>
      </c>
      <c r="L427" s="2">
        <v>15669.23</v>
      </c>
      <c r="M427" s="2">
        <v>0</v>
      </c>
      <c r="N427" s="12">
        <v>3290.54</v>
      </c>
      <c r="O427" s="2">
        <v>0</v>
      </c>
      <c r="P427" s="2">
        <v>0</v>
      </c>
      <c r="Q427" s="2">
        <v>0</v>
      </c>
      <c r="R427" s="2">
        <v>0</v>
      </c>
      <c r="S427" s="8" t="str">
        <f t="shared" si="18"/>
        <v>30710951949001300006398</v>
      </c>
      <c r="T427" s="14" t="str">
        <f>IFERROR(VLOOKUP(S427,AFIP!$F$2:$R$999999,12,FALSE),"NO")</f>
        <v>NO</v>
      </c>
      <c r="U427" s="10" t="str">
        <f t="shared" si="19"/>
        <v>NO</v>
      </c>
      <c r="V427" s="10" t="str">
        <f>IFERROR(VLOOKUP(S427,AFIP!$F$2:$R$999999,13,FALSE),"NO")</f>
        <v>NO</v>
      </c>
      <c r="W427" s="1" t="str">
        <f t="shared" si="20"/>
        <v>NO</v>
      </c>
    </row>
    <row r="428" spans="1:23" x14ac:dyDescent="0.25">
      <c r="A428" s="1" t="s">
        <v>1147</v>
      </c>
      <c r="B428" s="1" t="s">
        <v>1148</v>
      </c>
      <c r="C428" s="1" t="s">
        <v>19</v>
      </c>
      <c r="D428" s="1">
        <v>30710951949</v>
      </c>
      <c r="E428" s="1" t="s">
        <v>20</v>
      </c>
      <c r="F428" s="1" t="s">
        <v>414</v>
      </c>
      <c r="G428" s="1" t="s">
        <v>53</v>
      </c>
      <c r="H428" s="1" t="s">
        <v>54</v>
      </c>
      <c r="I428" s="1" t="s">
        <v>1149</v>
      </c>
      <c r="J428" s="2">
        <v>0</v>
      </c>
      <c r="K428" s="12">
        <v>40.229999999999997</v>
      </c>
      <c r="L428" s="2">
        <v>0</v>
      </c>
      <c r="M428" s="2">
        <v>40.229999999999997</v>
      </c>
      <c r="N428" s="12">
        <v>0</v>
      </c>
      <c r="O428" s="2">
        <v>0</v>
      </c>
      <c r="P428" s="2">
        <v>0</v>
      </c>
      <c r="Q428" s="2">
        <v>0</v>
      </c>
      <c r="R428" s="2">
        <v>0</v>
      </c>
      <c r="S428" s="8" t="str">
        <f t="shared" si="18"/>
        <v>30710951949001300006398</v>
      </c>
      <c r="T428" s="14" t="str">
        <f>IFERROR(VLOOKUP(S428,AFIP!$F$2:$R$999999,12,FALSE),"NO")</f>
        <v>NO</v>
      </c>
      <c r="U428" s="10" t="str">
        <f t="shared" si="19"/>
        <v>NO</v>
      </c>
      <c r="V428" s="10" t="str">
        <f>IFERROR(VLOOKUP(S428,AFIP!$F$2:$R$999999,13,FALSE),"NO")</f>
        <v>NO</v>
      </c>
      <c r="W428" s="1" t="str">
        <f t="shared" si="20"/>
        <v>NO</v>
      </c>
    </row>
    <row r="429" spans="1:23" x14ac:dyDescent="0.25">
      <c r="A429" s="1" t="s">
        <v>1150</v>
      </c>
      <c r="B429" s="1" t="s">
        <v>1151</v>
      </c>
      <c r="C429" s="1" t="s">
        <v>19</v>
      </c>
      <c r="D429" s="1">
        <v>30711908818</v>
      </c>
      <c r="E429" s="1" t="s">
        <v>20</v>
      </c>
      <c r="F429" s="1" t="s">
        <v>414</v>
      </c>
      <c r="G429" s="1" t="s">
        <v>53</v>
      </c>
      <c r="H429" s="1" t="s">
        <v>54</v>
      </c>
      <c r="I429" s="1" t="s">
        <v>1152</v>
      </c>
      <c r="J429" s="2">
        <v>21</v>
      </c>
      <c r="K429" s="12">
        <v>33883.129999999997</v>
      </c>
      <c r="L429" s="2">
        <v>28002.59</v>
      </c>
      <c r="M429" s="2">
        <v>0</v>
      </c>
      <c r="N429" s="12">
        <v>5880.54</v>
      </c>
      <c r="O429" s="2">
        <v>0</v>
      </c>
      <c r="P429" s="2">
        <v>0</v>
      </c>
      <c r="Q429" s="2">
        <v>0</v>
      </c>
      <c r="R429" s="2">
        <v>0</v>
      </c>
      <c r="S429" s="8" t="str">
        <f t="shared" si="18"/>
        <v>30711908818001400063288</v>
      </c>
      <c r="T429" s="14" t="str">
        <f>IFERROR(VLOOKUP(S429,AFIP!$F$2:$R$999999,12,FALSE),"NO")</f>
        <v>NO</v>
      </c>
      <c r="U429" s="10" t="str">
        <f t="shared" si="19"/>
        <v>NO</v>
      </c>
      <c r="V429" s="10" t="str">
        <f>IFERROR(VLOOKUP(S429,AFIP!$F$2:$R$999999,13,FALSE),"NO")</f>
        <v>NO</v>
      </c>
      <c r="W429" s="1" t="str">
        <f t="shared" si="20"/>
        <v>NO</v>
      </c>
    </row>
    <row r="430" spans="1:23" x14ac:dyDescent="0.25">
      <c r="A430" s="1" t="s">
        <v>1150</v>
      </c>
      <c r="B430" s="1" t="s">
        <v>1151</v>
      </c>
      <c r="C430" s="1" t="s">
        <v>19</v>
      </c>
      <c r="D430" s="1">
        <v>30711908818</v>
      </c>
      <c r="E430" s="1" t="s">
        <v>20</v>
      </c>
      <c r="F430" s="1" t="s">
        <v>414</v>
      </c>
      <c r="G430" s="1" t="s">
        <v>53</v>
      </c>
      <c r="H430" s="1" t="s">
        <v>54</v>
      </c>
      <c r="I430" s="1" t="s">
        <v>1152</v>
      </c>
      <c r="J430" s="2">
        <v>0</v>
      </c>
      <c r="K430" s="12">
        <v>6130.55</v>
      </c>
      <c r="L430" s="2">
        <v>0</v>
      </c>
      <c r="M430" s="2">
        <v>6130.55</v>
      </c>
      <c r="N430" s="12">
        <v>0</v>
      </c>
      <c r="O430" s="2">
        <v>0</v>
      </c>
      <c r="P430" s="2">
        <v>0</v>
      </c>
      <c r="Q430" s="2">
        <v>0</v>
      </c>
      <c r="R430" s="2">
        <v>0</v>
      </c>
      <c r="S430" s="8" t="str">
        <f t="shared" si="18"/>
        <v>30711908818001400063288</v>
      </c>
      <c r="T430" s="14" t="str">
        <f>IFERROR(VLOOKUP(S430,AFIP!$F$2:$R$999999,12,FALSE),"NO")</f>
        <v>NO</v>
      </c>
      <c r="U430" s="10" t="str">
        <f t="shared" si="19"/>
        <v>NO</v>
      </c>
      <c r="V430" s="10" t="str">
        <f>IFERROR(VLOOKUP(S430,AFIP!$F$2:$R$999999,13,FALSE),"NO")</f>
        <v>NO</v>
      </c>
      <c r="W430" s="1" t="str">
        <f t="shared" si="20"/>
        <v>NO</v>
      </c>
    </row>
    <row r="431" spans="1:23" x14ac:dyDescent="0.25">
      <c r="A431" s="1" t="s">
        <v>1153</v>
      </c>
      <c r="B431" s="1" t="s">
        <v>1154</v>
      </c>
      <c r="C431" s="1" t="s">
        <v>19</v>
      </c>
      <c r="D431" s="1">
        <v>20129015277</v>
      </c>
      <c r="E431" s="1" t="s">
        <v>20</v>
      </c>
      <c r="F431" s="1" t="s">
        <v>414</v>
      </c>
      <c r="G431" s="1" t="s">
        <v>53</v>
      </c>
      <c r="H431" s="1" t="s">
        <v>54</v>
      </c>
      <c r="I431" s="1" t="s">
        <v>1155</v>
      </c>
      <c r="J431" s="2">
        <v>21</v>
      </c>
      <c r="K431" s="12">
        <v>9100</v>
      </c>
      <c r="L431" s="2">
        <v>7520.66</v>
      </c>
      <c r="M431" s="2">
        <v>0</v>
      </c>
      <c r="N431" s="12">
        <v>1579.34</v>
      </c>
      <c r="O431" s="2">
        <v>0</v>
      </c>
      <c r="P431" s="2">
        <v>0</v>
      </c>
      <c r="Q431" s="2">
        <v>0</v>
      </c>
      <c r="R431" s="2">
        <v>0</v>
      </c>
      <c r="S431" s="8" t="str">
        <f t="shared" si="18"/>
        <v>20129015277002000019878</v>
      </c>
      <c r="T431" s="14" t="str">
        <f>IFERROR(VLOOKUP(S431,AFIP!$F$2:$R$999999,12,FALSE),"NO")</f>
        <v>NO</v>
      </c>
      <c r="U431" s="10" t="str">
        <f t="shared" si="19"/>
        <v>NO</v>
      </c>
      <c r="V431" s="10" t="str">
        <f>IFERROR(VLOOKUP(S431,AFIP!$F$2:$R$999999,13,FALSE),"NO")</f>
        <v>NO</v>
      </c>
      <c r="W431" s="1" t="str">
        <f t="shared" si="20"/>
        <v>NO</v>
      </c>
    </row>
    <row r="432" spans="1:23" hidden="1" x14ac:dyDescent="0.25">
      <c r="A432" s="1" t="s">
        <v>60</v>
      </c>
      <c r="B432" s="1" t="s">
        <v>61</v>
      </c>
      <c r="C432" s="1" t="s">
        <v>19</v>
      </c>
      <c r="D432" s="1">
        <v>30715706934</v>
      </c>
      <c r="E432" s="1" t="s">
        <v>20</v>
      </c>
      <c r="F432" s="1" t="s">
        <v>414</v>
      </c>
      <c r="G432" s="1" t="s">
        <v>53</v>
      </c>
      <c r="H432" s="1" t="s">
        <v>54</v>
      </c>
      <c r="I432" s="1" t="s">
        <v>1156</v>
      </c>
      <c r="J432" s="2">
        <v>21</v>
      </c>
      <c r="K432" s="12">
        <v>62586.57</v>
      </c>
      <c r="L432" s="2">
        <v>51724.44</v>
      </c>
      <c r="M432" s="2">
        <v>0</v>
      </c>
      <c r="N432" s="12">
        <v>10862.13</v>
      </c>
      <c r="O432" s="2">
        <v>0</v>
      </c>
      <c r="P432" s="2">
        <v>0</v>
      </c>
      <c r="Q432" s="2">
        <v>0</v>
      </c>
      <c r="R432" s="2">
        <v>0</v>
      </c>
      <c r="S432" s="8" t="str">
        <f t="shared" si="18"/>
        <v>30715706934002300022808</v>
      </c>
      <c r="T432" s="14">
        <f>IFERROR(VLOOKUP(S432,AFIP!$F$2:$R$999999,12,FALSE),"NO")</f>
        <v>10862.13</v>
      </c>
      <c r="U432" s="10" t="str">
        <f t="shared" si="19"/>
        <v>SI</v>
      </c>
      <c r="V432" s="10">
        <f>IFERROR(VLOOKUP(S432,AFIP!$F$2:$R$999999,13,FALSE),"NO")</f>
        <v>69999.929999999993</v>
      </c>
      <c r="W432" s="1" t="str">
        <f t="shared" si="20"/>
        <v>NO</v>
      </c>
    </row>
    <row r="433" spans="1:23" hidden="1" x14ac:dyDescent="0.25">
      <c r="A433" s="1" t="s">
        <v>60</v>
      </c>
      <c r="B433" s="1" t="s">
        <v>61</v>
      </c>
      <c r="C433" s="1" t="s">
        <v>19</v>
      </c>
      <c r="D433" s="1">
        <v>30715706934</v>
      </c>
      <c r="E433" s="1" t="s">
        <v>20</v>
      </c>
      <c r="F433" s="1" t="s">
        <v>414</v>
      </c>
      <c r="G433" s="1" t="s">
        <v>53</v>
      </c>
      <c r="H433" s="1" t="s">
        <v>54</v>
      </c>
      <c r="I433" s="1" t="s">
        <v>1156</v>
      </c>
      <c r="J433" s="2">
        <v>0</v>
      </c>
      <c r="K433" s="12">
        <v>7413.36</v>
      </c>
      <c r="L433" s="2">
        <v>0</v>
      </c>
      <c r="M433" s="2">
        <v>7413.36</v>
      </c>
      <c r="N433" s="12">
        <v>0</v>
      </c>
      <c r="O433" s="2">
        <v>0</v>
      </c>
      <c r="P433" s="2">
        <v>0</v>
      </c>
      <c r="Q433" s="2">
        <v>0</v>
      </c>
      <c r="R433" s="2">
        <v>0</v>
      </c>
      <c r="S433" s="8" t="str">
        <f t="shared" si="18"/>
        <v>30715706934002300022808</v>
      </c>
      <c r="T433" s="14">
        <f>IFERROR(VLOOKUP(S433,AFIP!$F$2:$R$999999,12,FALSE),"NO")</f>
        <v>10862.13</v>
      </c>
      <c r="U433" s="10" t="str">
        <f t="shared" si="19"/>
        <v>NO</v>
      </c>
      <c r="V433" s="10">
        <f>IFERROR(VLOOKUP(S433,AFIP!$F$2:$R$999999,13,FALSE),"NO")</f>
        <v>69999.929999999993</v>
      </c>
      <c r="W433" s="1" t="str">
        <f t="shared" si="20"/>
        <v>NO</v>
      </c>
    </row>
    <row r="434" spans="1:23" hidden="1" x14ac:dyDescent="0.25">
      <c r="A434" s="1" t="s">
        <v>29</v>
      </c>
      <c r="B434" s="1" t="s">
        <v>30</v>
      </c>
      <c r="C434" s="1" t="s">
        <v>19</v>
      </c>
      <c r="D434" s="1">
        <v>30621181838</v>
      </c>
      <c r="E434" s="1" t="s">
        <v>20</v>
      </c>
      <c r="F434" s="1" t="s">
        <v>414</v>
      </c>
      <c r="G434" s="1" t="s">
        <v>53</v>
      </c>
      <c r="H434" s="1" t="s">
        <v>54</v>
      </c>
      <c r="I434" s="1" t="s">
        <v>721</v>
      </c>
      <c r="J434" s="2">
        <v>21</v>
      </c>
      <c r="K434" s="12">
        <v>533494.81999999995</v>
      </c>
      <c r="L434" s="2">
        <v>440904.81</v>
      </c>
      <c r="M434" s="2">
        <v>0</v>
      </c>
      <c r="N434" s="12">
        <v>92590.01</v>
      </c>
      <c r="O434" s="2">
        <v>0</v>
      </c>
      <c r="P434" s="2">
        <v>0</v>
      </c>
      <c r="Q434" s="2">
        <v>0</v>
      </c>
      <c r="R434" s="2">
        <v>0</v>
      </c>
      <c r="S434" s="8" t="str">
        <f t="shared" si="18"/>
        <v>30621181838003200255009</v>
      </c>
      <c r="T434" s="14">
        <f>IFERROR(VLOOKUP(S434,AFIP!$F$2:$R$999999,12,FALSE),"NO")</f>
        <v>92590.01</v>
      </c>
      <c r="U434" s="10" t="str">
        <f t="shared" si="19"/>
        <v>SI</v>
      </c>
      <c r="V434" s="10">
        <f>IFERROR(VLOOKUP(S434,AFIP!$F$2:$R$999999,13,FALSE),"NO")</f>
        <v>533494.81999999995</v>
      </c>
      <c r="W434" s="1" t="str">
        <f t="shared" si="20"/>
        <v>SI</v>
      </c>
    </row>
    <row r="435" spans="1:23" x14ac:dyDescent="0.25">
      <c r="A435" s="1" t="s">
        <v>1084</v>
      </c>
      <c r="B435" s="1" t="s">
        <v>1085</v>
      </c>
      <c r="C435" s="1" t="s">
        <v>19</v>
      </c>
      <c r="D435" s="1">
        <v>30690887661</v>
      </c>
      <c r="E435" s="1" t="s">
        <v>20</v>
      </c>
      <c r="F435" s="1" t="s">
        <v>414</v>
      </c>
      <c r="G435" s="1" t="s">
        <v>53</v>
      </c>
      <c r="H435" s="1" t="s">
        <v>54</v>
      </c>
      <c r="I435" s="1" t="s">
        <v>1157</v>
      </c>
      <c r="J435" s="2">
        <v>21</v>
      </c>
      <c r="K435" s="12">
        <v>12299.25</v>
      </c>
      <c r="L435" s="2">
        <v>10164.67</v>
      </c>
      <c r="M435" s="2">
        <v>0</v>
      </c>
      <c r="N435" s="12">
        <v>2134.58</v>
      </c>
      <c r="O435" s="2">
        <v>0</v>
      </c>
      <c r="P435" s="2">
        <v>0</v>
      </c>
      <c r="Q435" s="2">
        <v>0</v>
      </c>
      <c r="R435" s="2">
        <v>0</v>
      </c>
      <c r="S435" s="8" t="str">
        <f t="shared" si="18"/>
        <v>30690887661010600007247</v>
      </c>
      <c r="T435" s="14" t="str">
        <f>IFERROR(VLOOKUP(S435,AFIP!$F$2:$R$999999,12,FALSE),"NO")</f>
        <v>NO</v>
      </c>
      <c r="U435" s="10" t="str">
        <f t="shared" si="19"/>
        <v>NO</v>
      </c>
      <c r="V435" s="10" t="str">
        <f>IFERROR(VLOOKUP(S435,AFIP!$F$2:$R$999999,13,FALSE),"NO")</f>
        <v>NO</v>
      </c>
      <c r="W435" s="1" t="str">
        <f t="shared" si="20"/>
        <v>NO</v>
      </c>
    </row>
    <row r="436" spans="1:23" x14ac:dyDescent="0.25">
      <c r="A436" s="1" t="s">
        <v>1084</v>
      </c>
      <c r="B436" s="1" t="s">
        <v>1085</v>
      </c>
      <c r="C436" s="1" t="s">
        <v>19</v>
      </c>
      <c r="D436" s="1">
        <v>30690887661</v>
      </c>
      <c r="E436" s="1" t="s">
        <v>20</v>
      </c>
      <c r="F436" s="1" t="s">
        <v>414</v>
      </c>
      <c r="G436" s="1" t="s">
        <v>53</v>
      </c>
      <c r="H436" s="1" t="s">
        <v>54</v>
      </c>
      <c r="I436" s="1" t="s">
        <v>1157</v>
      </c>
      <c r="J436" s="2">
        <v>0</v>
      </c>
      <c r="K436" s="12">
        <v>0.76</v>
      </c>
      <c r="L436" s="2">
        <v>0</v>
      </c>
      <c r="M436" s="2">
        <v>0.76</v>
      </c>
      <c r="N436" s="12">
        <v>0</v>
      </c>
      <c r="O436" s="2">
        <v>0</v>
      </c>
      <c r="P436" s="2">
        <v>0</v>
      </c>
      <c r="Q436" s="2">
        <v>0</v>
      </c>
      <c r="R436" s="2">
        <v>0</v>
      </c>
      <c r="S436" s="8" t="str">
        <f t="shared" si="18"/>
        <v>30690887661010600007247</v>
      </c>
      <c r="T436" s="14" t="str">
        <f>IFERROR(VLOOKUP(S436,AFIP!$F$2:$R$999999,12,FALSE),"NO")</f>
        <v>NO</v>
      </c>
      <c r="U436" s="10" t="str">
        <f t="shared" si="19"/>
        <v>NO</v>
      </c>
      <c r="V436" s="10" t="str">
        <f>IFERROR(VLOOKUP(S436,AFIP!$F$2:$R$999999,13,FALSE),"NO")</f>
        <v>NO</v>
      </c>
      <c r="W436" s="1" t="str">
        <f t="shared" si="20"/>
        <v>NO</v>
      </c>
    </row>
    <row r="437" spans="1:23" x14ac:dyDescent="0.25">
      <c r="A437" s="1" t="s">
        <v>1158</v>
      </c>
      <c r="B437" s="1" t="s">
        <v>1159</v>
      </c>
      <c r="C437" s="1" t="s">
        <v>19</v>
      </c>
      <c r="D437" s="1">
        <v>30627062490</v>
      </c>
      <c r="E437" s="1" t="s">
        <v>20</v>
      </c>
      <c r="F437" s="1" t="s">
        <v>414</v>
      </c>
      <c r="G437" s="1" t="s">
        <v>53</v>
      </c>
      <c r="H437" s="1" t="s">
        <v>54</v>
      </c>
      <c r="I437" s="1" t="s">
        <v>1160</v>
      </c>
      <c r="J437" s="2">
        <v>21</v>
      </c>
      <c r="K437" s="12">
        <v>44361.4</v>
      </c>
      <c r="L437" s="2">
        <v>36662.31</v>
      </c>
      <c r="M437" s="2">
        <v>0</v>
      </c>
      <c r="N437" s="12">
        <v>7699.09</v>
      </c>
      <c r="O437" s="2">
        <v>0</v>
      </c>
      <c r="P437" s="2">
        <v>0</v>
      </c>
      <c r="Q437" s="2">
        <v>0</v>
      </c>
      <c r="R437" s="2">
        <v>0</v>
      </c>
      <c r="S437" s="8" t="str">
        <f t="shared" si="18"/>
        <v>30627062490018900038129</v>
      </c>
      <c r="T437" s="14" t="str">
        <f>IFERROR(VLOOKUP(S437,AFIP!$F$2:$R$999999,12,FALSE),"NO")</f>
        <v>NO</v>
      </c>
      <c r="U437" s="10" t="str">
        <f t="shared" si="19"/>
        <v>NO</v>
      </c>
      <c r="V437" s="10" t="str">
        <f>IFERROR(VLOOKUP(S437,AFIP!$F$2:$R$999999,13,FALSE),"NO")</f>
        <v>NO</v>
      </c>
      <c r="W437" s="1" t="str">
        <f t="shared" si="20"/>
        <v>NO</v>
      </c>
    </row>
    <row r="438" spans="1:23" x14ac:dyDescent="0.25">
      <c r="A438" s="1" t="s">
        <v>1158</v>
      </c>
      <c r="B438" s="1" t="s">
        <v>1159</v>
      </c>
      <c r="C438" s="1" t="s">
        <v>19</v>
      </c>
      <c r="D438" s="1">
        <v>30627062490</v>
      </c>
      <c r="E438" s="1" t="s">
        <v>20</v>
      </c>
      <c r="F438" s="1" t="s">
        <v>414</v>
      </c>
      <c r="G438" s="1" t="s">
        <v>53</v>
      </c>
      <c r="H438" s="1" t="s">
        <v>54</v>
      </c>
      <c r="I438" s="1" t="s">
        <v>1160</v>
      </c>
      <c r="J438" s="2">
        <v>0</v>
      </c>
      <c r="K438" s="12">
        <v>5638.54</v>
      </c>
      <c r="L438" s="2">
        <v>0</v>
      </c>
      <c r="M438" s="2">
        <v>5638.54</v>
      </c>
      <c r="N438" s="12">
        <v>0</v>
      </c>
      <c r="O438" s="2">
        <v>0</v>
      </c>
      <c r="P438" s="2">
        <v>0</v>
      </c>
      <c r="Q438" s="2">
        <v>0</v>
      </c>
      <c r="R438" s="2">
        <v>0</v>
      </c>
      <c r="S438" s="8" t="str">
        <f t="shared" si="18"/>
        <v>30627062490018900038129</v>
      </c>
      <c r="T438" s="14" t="str">
        <f>IFERROR(VLOOKUP(S438,AFIP!$F$2:$R$999999,12,FALSE),"NO")</f>
        <v>NO</v>
      </c>
      <c r="U438" s="10" t="str">
        <f t="shared" si="19"/>
        <v>NO</v>
      </c>
      <c r="V438" s="10" t="str">
        <f>IFERROR(VLOOKUP(S438,AFIP!$F$2:$R$999999,13,FALSE),"NO")</f>
        <v>NO</v>
      </c>
      <c r="W438" s="1" t="str">
        <f t="shared" si="20"/>
        <v>NO</v>
      </c>
    </row>
    <row r="439" spans="1:23" hidden="1" x14ac:dyDescent="0.25">
      <c r="A439" s="1" t="s">
        <v>722</v>
      </c>
      <c r="B439" s="1" t="s">
        <v>723</v>
      </c>
      <c r="C439" s="1" t="s">
        <v>19</v>
      </c>
      <c r="D439" s="1">
        <v>27366556074</v>
      </c>
      <c r="E439" s="1" t="s">
        <v>63</v>
      </c>
      <c r="F439" s="1" t="s">
        <v>414</v>
      </c>
      <c r="G439" s="1" t="s">
        <v>53</v>
      </c>
      <c r="H439" s="1" t="s">
        <v>59</v>
      </c>
      <c r="I439" s="1" t="s">
        <v>724</v>
      </c>
      <c r="J439" s="2">
        <v>0</v>
      </c>
      <c r="K439" s="12">
        <v>100000</v>
      </c>
      <c r="L439" s="2">
        <v>0</v>
      </c>
      <c r="M439" s="2">
        <v>100000</v>
      </c>
      <c r="N439" s="12">
        <v>0</v>
      </c>
      <c r="O439" s="2">
        <v>0</v>
      </c>
      <c r="P439" s="2">
        <v>0</v>
      </c>
      <c r="Q439" s="2">
        <v>0</v>
      </c>
      <c r="R439" s="2">
        <v>0</v>
      </c>
      <c r="S439" s="8" t="str">
        <f t="shared" si="18"/>
        <v>27366556074000100000228</v>
      </c>
      <c r="T439" s="14">
        <f>IFERROR(VLOOKUP(S439,AFIP!$F$2:$R$999999,12,FALSE),"NO")</f>
        <v>0</v>
      </c>
      <c r="U439" s="10" t="str">
        <f t="shared" si="19"/>
        <v>SI</v>
      </c>
      <c r="V439" s="10">
        <f>IFERROR(VLOOKUP(S439,AFIP!$F$2:$R$999999,13,FALSE),"NO")</f>
        <v>100000</v>
      </c>
      <c r="W439" s="1" t="str">
        <f t="shared" si="20"/>
        <v>SI</v>
      </c>
    </row>
    <row r="440" spans="1:23" hidden="1" x14ac:dyDescent="0.25">
      <c r="A440" s="1" t="s">
        <v>236</v>
      </c>
      <c r="B440" s="1" t="s">
        <v>222</v>
      </c>
      <c r="C440" s="1" t="s">
        <v>19</v>
      </c>
      <c r="D440" s="1">
        <v>20220874568</v>
      </c>
      <c r="E440" s="1" t="s">
        <v>63</v>
      </c>
      <c r="F440" s="1" t="s">
        <v>414</v>
      </c>
      <c r="G440" s="1" t="s">
        <v>53</v>
      </c>
      <c r="H440" s="1" t="s">
        <v>59</v>
      </c>
      <c r="I440" s="1" t="s">
        <v>725</v>
      </c>
      <c r="J440" s="2">
        <v>0</v>
      </c>
      <c r="K440" s="12">
        <v>620000</v>
      </c>
      <c r="L440" s="2">
        <v>0</v>
      </c>
      <c r="M440" s="2">
        <v>620000</v>
      </c>
      <c r="N440" s="12">
        <v>0</v>
      </c>
      <c r="O440" s="2">
        <v>0</v>
      </c>
      <c r="P440" s="2">
        <v>0</v>
      </c>
      <c r="Q440" s="2">
        <v>0</v>
      </c>
      <c r="R440" s="2">
        <v>0</v>
      </c>
      <c r="S440" s="8" t="str">
        <f t="shared" si="18"/>
        <v>20220874568000300000255</v>
      </c>
      <c r="T440" s="14">
        <f>IFERROR(VLOOKUP(S440,AFIP!$F$2:$R$999999,12,FALSE),"NO")</f>
        <v>0</v>
      </c>
      <c r="U440" s="10" t="str">
        <f t="shared" si="19"/>
        <v>SI</v>
      </c>
      <c r="V440" s="10">
        <f>IFERROR(VLOOKUP(S440,AFIP!$F$2:$R$999999,13,FALSE),"NO")</f>
        <v>620000</v>
      </c>
      <c r="W440" s="1" t="str">
        <f t="shared" si="20"/>
        <v>SI</v>
      </c>
    </row>
    <row r="441" spans="1:23" hidden="1" x14ac:dyDescent="0.25">
      <c r="A441" s="1" t="s">
        <v>1161</v>
      </c>
      <c r="B441" s="1" t="s">
        <v>297</v>
      </c>
      <c r="C441" s="1" t="s">
        <v>19</v>
      </c>
      <c r="D441" s="1">
        <v>20406781888</v>
      </c>
      <c r="E441" s="1" t="s">
        <v>20</v>
      </c>
      <c r="F441" s="1" t="s">
        <v>417</v>
      </c>
      <c r="G441" s="1" t="s">
        <v>53</v>
      </c>
      <c r="H441" s="1" t="s">
        <v>54</v>
      </c>
      <c r="I441" s="1" t="s">
        <v>1162</v>
      </c>
      <c r="J441" s="2">
        <v>21</v>
      </c>
      <c r="K441" s="12">
        <v>12100</v>
      </c>
      <c r="L441" s="2">
        <v>10000</v>
      </c>
      <c r="M441" s="2">
        <v>0</v>
      </c>
      <c r="N441" s="12">
        <v>2100</v>
      </c>
      <c r="O441" s="2">
        <v>0</v>
      </c>
      <c r="P441" s="2">
        <v>0</v>
      </c>
      <c r="Q441" s="2">
        <v>0</v>
      </c>
      <c r="R441" s="2">
        <v>0</v>
      </c>
      <c r="S441" s="8" t="str">
        <f t="shared" si="18"/>
        <v>20406781888000100003822</v>
      </c>
      <c r="T441" s="14">
        <f>IFERROR(VLOOKUP(S441,AFIP!$F$2:$R$999999,12,FALSE),"NO")</f>
        <v>2100</v>
      </c>
      <c r="U441" s="10" t="str">
        <f t="shared" si="19"/>
        <v>SI</v>
      </c>
      <c r="V441" s="10">
        <f>IFERROR(VLOOKUP(S441,AFIP!$F$2:$R$999999,13,FALSE),"NO")</f>
        <v>12100</v>
      </c>
      <c r="W441" s="1" t="str">
        <f t="shared" si="20"/>
        <v>SI</v>
      </c>
    </row>
    <row r="442" spans="1:23" hidden="1" x14ac:dyDescent="0.25">
      <c r="A442" s="1" t="s">
        <v>726</v>
      </c>
      <c r="B442" s="1" t="s">
        <v>727</v>
      </c>
      <c r="C442" s="1" t="s">
        <v>19</v>
      </c>
      <c r="D442" s="1">
        <v>27207256086</v>
      </c>
      <c r="E442" s="1" t="s">
        <v>20</v>
      </c>
      <c r="F442" s="1" t="s">
        <v>417</v>
      </c>
      <c r="G442" s="1" t="s">
        <v>53</v>
      </c>
      <c r="H442" s="1" t="s">
        <v>54</v>
      </c>
      <c r="I442" s="1" t="s">
        <v>728</v>
      </c>
      <c r="J442" s="2">
        <v>21</v>
      </c>
      <c r="K442" s="12">
        <v>716320</v>
      </c>
      <c r="L442" s="2">
        <v>592000</v>
      </c>
      <c r="M442" s="2">
        <v>0</v>
      </c>
      <c r="N442" s="12">
        <v>124320</v>
      </c>
      <c r="O442" s="2">
        <v>0</v>
      </c>
      <c r="P442" s="2">
        <v>0</v>
      </c>
      <c r="Q442" s="2">
        <v>0</v>
      </c>
      <c r="R442" s="2">
        <v>0</v>
      </c>
      <c r="S442" s="8" t="str">
        <f t="shared" si="18"/>
        <v>27207256086000200000089</v>
      </c>
      <c r="T442" s="14">
        <f>IFERROR(VLOOKUP(S442,AFIP!$F$2:$R$999999,12,FALSE),"NO")</f>
        <v>124320</v>
      </c>
      <c r="U442" s="10" t="str">
        <f t="shared" si="19"/>
        <v>SI</v>
      </c>
      <c r="V442" s="10">
        <f>IFERROR(VLOOKUP(S442,AFIP!$F$2:$R$999999,13,FALSE),"NO")</f>
        <v>716320</v>
      </c>
      <c r="W442" s="1" t="str">
        <f t="shared" si="20"/>
        <v>SI</v>
      </c>
    </row>
    <row r="443" spans="1:23" hidden="1" x14ac:dyDescent="0.25">
      <c r="A443" s="1" t="s">
        <v>88</v>
      </c>
      <c r="B443" s="1" t="s">
        <v>729</v>
      </c>
      <c r="C443" s="1" t="s">
        <v>19</v>
      </c>
      <c r="D443" s="1">
        <v>30718520416</v>
      </c>
      <c r="E443" s="1" t="s">
        <v>20</v>
      </c>
      <c r="F443" s="1" t="s">
        <v>417</v>
      </c>
      <c r="G443" s="1" t="s">
        <v>53</v>
      </c>
      <c r="H443" s="1" t="s">
        <v>54</v>
      </c>
      <c r="I443" s="1" t="s">
        <v>730</v>
      </c>
      <c r="J443" s="2">
        <v>21</v>
      </c>
      <c r="K443" s="12">
        <v>40000</v>
      </c>
      <c r="L443" s="2">
        <v>33057.85</v>
      </c>
      <c r="M443" s="2">
        <v>0</v>
      </c>
      <c r="N443" s="12">
        <v>6942.15</v>
      </c>
      <c r="O443" s="2">
        <v>0</v>
      </c>
      <c r="P443" s="2">
        <v>0</v>
      </c>
      <c r="Q443" s="2">
        <v>0</v>
      </c>
      <c r="R443" s="2">
        <v>0</v>
      </c>
      <c r="S443" s="8" t="str">
        <f t="shared" si="18"/>
        <v>30718520416000200001569</v>
      </c>
      <c r="T443" s="14">
        <f>IFERROR(VLOOKUP(S443,AFIP!$F$2:$R$999999,12,FALSE),"NO")</f>
        <v>6942.15</v>
      </c>
      <c r="U443" s="10" t="str">
        <f t="shared" si="19"/>
        <v>SI</v>
      </c>
      <c r="V443" s="10">
        <f>IFERROR(VLOOKUP(S443,AFIP!$F$2:$R$999999,13,FALSE),"NO")</f>
        <v>40000</v>
      </c>
      <c r="W443" s="1" t="str">
        <f t="shared" si="20"/>
        <v>SI</v>
      </c>
    </row>
    <row r="444" spans="1:23" hidden="1" x14ac:dyDescent="0.25">
      <c r="A444" s="1" t="s">
        <v>37</v>
      </c>
      <c r="B444" s="1" t="s">
        <v>38</v>
      </c>
      <c r="C444" s="1" t="s">
        <v>19</v>
      </c>
      <c r="D444" s="1">
        <v>30642674567</v>
      </c>
      <c r="E444" s="1" t="s">
        <v>20</v>
      </c>
      <c r="F444" s="1" t="s">
        <v>417</v>
      </c>
      <c r="G444" s="1" t="s">
        <v>53</v>
      </c>
      <c r="H444" s="1" t="s">
        <v>54</v>
      </c>
      <c r="I444" s="1" t="s">
        <v>731</v>
      </c>
      <c r="J444" s="2">
        <v>21</v>
      </c>
      <c r="K444" s="12">
        <v>96445.65</v>
      </c>
      <c r="L444" s="2">
        <v>79707.149999999994</v>
      </c>
      <c r="M444" s="2">
        <v>0</v>
      </c>
      <c r="N444" s="12">
        <v>16738.5</v>
      </c>
      <c r="O444" s="2">
        <v>0</v>
      </c>
      <c r="P444" s="2">
        <v>0</v>
      </c>
      <c r="Q444" s="2">
        <v>0</v>
      </c>
      <c r="R444" s="2">
        <v>0</v>
      </c>
      <c r="S444" s="8" t="str">
        <f t="shared" si="18"/>
        <v>30642674567000200010429</v>
      </c>
      <c r="T444" s="14">
        <f>IFERROR(VLOOKUP(S444,AFIP!$F$2:$R$999999,12,FALSE),"NO")</f>
        <v>16738.5</v>
      </c>
      <c r="U444" s="10" t="str">
        <f t="shared" si="19"/>
        <v>SI</v>
      </c>
      <c r="V444" s="10">
        <f>IFERROR(VLOOKUP(S444,AFIP!$F$2:$R$999999,13,FALSE),"NO")</f>
        <v>96445.65</v>
      </c>
      <c r="W444" s="1" t="str">
        <f t="shared" si="20"/>
        <v>SI</v>
      </c>
    </row>
    <row r="445" spans="1:23" hidden="1" x14ac:dyDescent="0.25">
      <c r="A445" s="1" t="s">
        <v>279</v>
      </c>
      <c r="B445" s="1" t="s">
        <v>280</v>
      </c>
      <c r="C445" s="1" t="s">
        <v>19</v>
      </c>
      <c r="D445" s="1">
        <v>33620532229</v>
      </c>
      <c r="E445" s="1" t="s">
        <v>20</v>
      </c>
      <c r="F445" s="1" t="s">
        <v>417</v>
      </c>
      <c r="G445" s="1" t="s">
        <v>53</v>
      </c>
      <c r="H445" s="1" t="s">
        <v>54</v>
      </c>
      <c r="I445" s="1" t="s">
        <v>732</v>
      </c>
      <c r="J445" s="2">
        <v>21</v>
      </c>
      <c r="K445" s="12">
        <v>403925.83</v>
      </c>
      <c r="L445" s="2">
        <v>333823</v>
      </c>
      <c r="M445" s="2">
        <v>0</v>
      </c>
      <c r="N445" s="12">
        <v>70102.83</v>
      </c>
      <c r="O445" s="2">
        <v>0</v>
      </c>
      <c r="P445" s="2">
        <v>0</v>
      </c>
      <c r="Q445" s="2">
        <v>0</v>
      </c>
      <c r="R445" s="2">
        <v>0</v>
      </c>
      <c r="S445" s="8" t="str">
        <f t="shared" si="18"/>
        <v>33620532229000200021975</v>
      </c>
      <c r="T445" s="14">
        <f>IFERROR(VLOOKUP(S445,AFIP!$F$2:$R$999999,12,FALSE),"NO")</f>
        <v>70102.83</v>
      </c>
      <c r="U445" s="10" t="str">
        <f t="shared" si="19"/>
        <v>SI</v>
      </c>
      <c r="V445" s="10">
        <f>IFERROR(VLOOKUP(S445,AFIP!$F$2:$R$999999,13,FALSE),"NO")</f>
        <v>403925.83</v>
      </c>
      <c r="W445" s="1" t="str">
        <f t="shared" si="20"/>
        <v>SI</v>
      </c>
    </row>
    <row r="446" spans="1:23" hidden="1" x14ac:dyDescent="0.25">
      <c r="A446" s="1" t="s">
        <v>228</v>
      </c>
      <c r="B446" s="1" t="s">
        <v>217</v>
      </c>
      <c r="C446" s="1" t="s">
        <v>19</v>
      </c>
      <c r="D446" s="1">
        <v>23174473919</v>
      </c>
      <c r="E446" s="1" t="s">
        <v>20</v>
      </c>
      <c r="F446" s="1" t="s">
        <v>417</v>
      </c>
      <c r="G446" s="1" t="s">
        <v>53</v>
      </c>
      <c r="H446" s="1" t="s">
        <v>54</v>
      </c>
      <c r="I446" s="1" t="s">
        <v>733</v>
      </c>
      <c r="J446" s="2">
        <v>21</v>
      </c>
      <c r="K446" s="12">
        <v>120155.66</v>
      </c>
      <c r="L446" s="2">
        <v>99302.2</v>
      </c>
      <c r="M446" s="2">
        <v>0</v>
      </c>
      <c r="N446" s="12">
        <v>20853.46</v>
      </c>
      <c r="O446" s="2">
        <v>0</v>
      </c>
      <c r="P446" s="2">
        <v>0</v>
      </c>
      <c r="Q446" s="2">
        <v>0</v>
      </c>
      <c r="R446" s="2">
        <v>0</v>
      </c>
      <c r="S446" s="8" t="str">
        <f t="shared" si="18"/>
        <v>23174473919000300010158</v>
      </c>
      <c r="T446" s="14">
        <f>IFERROR(VLOOKUP(S446,AFIP!$F$2:$R$999999,12,FALSE),"NO")</f>
        <v>20853.46</v>
      </c>
      <c r="U446" s="10" t="str">
        <f t="shared" si="19"/>
        <v>SI</v>
      </c>
      <c r="V446" s="10">
        <f>IFERROR(VLOOKUP(S446,AFIP!$F$2:$R$999999,13,FALSE),"NO")</f>
        <v>120155.66</v>
      </c>
      <c r="W446" s="1" t="str">
        <f t="shared" si="20"/>
        <v>SI</v>
      </c>
    </row>
    <row r="447" spans="1:23" hidden="1" x14ac:dyDescent="0.25">
      <c r="A447" s="1" t="s">
        <v>145</v>
      </c>
      <c r="B447" s="1" t="s">
        <v>146</v>
      </c>
      <c r="C447" s="1" t="s">
        <v>19</v>
      </c>
      <c r="D447" s="1">
        <v>23322188439</v>
      </c>
      <c r="E447" s="1" t="s">
        <v>20</v>
      </c>
      <c r="F447" s="1" t="s">
        <v>417</v>
      </c>
      <c r="G447" s="1" t="s">
        <v>53</v>
      </c>
      <c r="H447" s="1" t="s">
        <v>54</v>
      </c>
      <c r="I447" s="1" t="s">
        <v>734</v>
      </c>
      <c r="J447" s="2">
        <v>21</v>
      </c>
      <c r="K447" s="12">
        <v>19360</v>
      </c>
      <c r="L447" s="2">
        <v>16000</v>
      </c>
      <c r="M447" s="2">
        <v>0</v>
      </c>
      <c r="N447" s="12">
        <v>3360</v>
      </c>
      <c r="O447" s="2">
        <v>0</v>
      </c>
      <c r="P447" s="2">
        <v>0</v>
      </c>
      <c r="Q447" s="2">
        <v>0</v>
      </c>
      <c r="R447" s="2">
        <v>0</v>
      </c>
      <c r="S447" s="8" t="str">
        <f t="shared" si="18"/>
        <v>23322188439000500003935</v>
      </c>
      <c r="T447" s="14">
        <f>IFERROR(VLOOKUP(S447,AFIP!$F$2:$R$999999,12,FALSE),"NO")</f>
        <v>3360</v>
      </c>
      <c r="U447" s="10" t="str">
        <f t="shared" ref="U447:U510" si="21">IF(N447=T447,"SI","NO")</f>
        <v>SI</v>
      </c>
      <c r="V447" s="10">
        <f>IFERROR(VLOOKUP(S447,AFIP!$F$2:$R$999999,13,FALSE),"NO")</f>
        <v>19360</v>
      </c>
      <c r="W447" s="1" t="str">
        <f t="shared" ref="W447:W510" si="22">IF(K447=V447,"SI","NO")</f>
        <v>SI</v>
      </c>
    </row>
    <row r="448" spans="1:23" hidden="1" x14ac:dyDescent="0.25">
      <c r="A448" s="1" t="s">
        <v>145</v>
      </c>
      <c r="B448" s="1" t="s">
        <v>146</v>
      </c>
      <c r="C448" s="1" t="s">
        <v>19</v>
      </c>
      <c r="D448" s="1">
        <v>23322188439</v>
      </c>
      <c r="E448" s="1" t="s">
        <v>20</v>
      </c>
      <c r="F448" s="1" t="s">
        <v>417</v>
      </c>
      <c r="G448" s="1" t="s">
        <v>53</v>
      </c>
      <c r="H448" s="1" t="s">
        <v>54</v>
      </c>
      <c r="I448" s="1" t="s">
        <v>735</v>
      </c>
      <c r="J448" s="2">
        <v>21</v>
      </c>
      <c r="K448" s="12">
        <v>75625</v>
      </c>
      <c r="L448" s="2">
        <v>62500</v>
      </c>
      <c r="M448" s="2">
        <v>0</v>
      </c>
      <c r="N448" s="12">
        <v>13125</v>
      </c>
      <c r="O448" s="2">
        <v>0</v>
      </c>
      <c r="P448" s="2">
        <v>0</v>
      </c>
      <c r="Q448" s="2">
        <v>0</v>
      </c>
      <c r="R448" s="2">
        <v>0</v>
      </c>
      <c r="S448" s="8" t="str">
        <f t="shared" si="18"/>
        <v>23322188439000500003936</v>
      </c>
      <c r="T448" s="14">
        <f>IFERROR(VLOOKUP(S448,AFIP!$F$2:$R$999999,12,FALSE),"NO")</f>
        <v>13125</v>
      </c>
      <c r="U448" s="10" t="str">
        <f t="shared" si="21"/>
        <v>SI</v>
      </c>
      <c r="V448" s="10">
        <f>IFERROR(VLOOKUP(S448,AFIP!$F$2:$R$999999,13,FALSE),"NO")</f>
        <v>75625</v>
      </c>
      <c r="W448" s="1" t="str">
        <f t="shared" si="22"/>
        <v>SI</v>
      </c>
    </row>
    <row r="449" spans="1:23" hidden="1" x14ac:dyDescent="0.25">
      <c r="A449" s="1" t="s">
        <v>137</v>
      </c>
      <c r="B449" s="1" t="s">
        <v>138</v>
      </c>
      <c r="C449" s="1" t="s">
        <v>19</v>
      </c>
      <c r="D449" s="1">
        <v>23066238849</v>
      </c>
      <c r="E449" s="1" t="s">
        <v>20</v>
      </c>
      <c r="F449" s="1" t="s">
        <v>417</v>
      </c>
      <c r="G449" s="1" t="s">
        <v>53</v>
      </c>
      <c r="H449" s="1" t="s">
        <v>54</v>
      </c>
      <c r="I449" s="1" t="s">
        <v>736</v>
      </c>
      <c r="J449" s="2">
        <v>21</v>
      </c>
      <c r="K449" s="12">
        <v>40000</v>
      </c>
      <c r="L449" s="2">
        <v>33057.85</v>
      </c>
      <c r="M449" s="2">
        <v>0</v>
      </c>
      <c r="N449" s="12">
        <v>6942.15</v>
      </c>
      <c r="O449" s="2">
        <v>0</v>
      </c>
      <c r="P449" s="2">
        <v>0</v>
      </c>
      <c r="Q449" s="2">
        <v>0</v>
      </c>
      <c r="R449" s="2">
        <v>0</v>
      </c>
      <c r="S449" s="8" t="str">
        <f t="shared" si="18"/>
        <v>23066238849000500015298</v>
      </c>
      <c r="T449" s="14">
        <f>IFERROR(VLOOKUP(S449,AFIP!$F$2:$R$999999,12,FALSE),"NO")</f>
        <v>6942.15</v>
      </c>
      <c r="U449" s="10" t="str">
        <f t="shared" si="21"/>
        <v>SI</v>
      </c>
      <c r="V449" s="10">
        <f>IFERROR(VLOOKUP(S449,AFIP!$F$2:$R$999999,13,FALSE),"NO")</f>
        <v>40000</v>
      </c>
      <c r="W449" s="1" t="str">
        <f t="shared" si="22"/>
        <v>SI</v>
      </c>
    </row>
    <row r="450" spans="1:23" x14ac:dyDescent="0.25">
      <c r="A450" s="1" t="s">
        <v>651</v>
      </c>
      <c r="B450" s="1" t="s">
        <v>652</v>
      </c>
      <c r="C450" s="1" t="s">
        <v>19</v>
      </c>
      <c r="D450" s="1">
        <v>27139111589</v>
      </c>
      <c r="E450" s="1" t="s">
        <v>20</v>
      </c>
      <c r="F450" s="1" t="s">
        <v>417</v>
      </c>
      <c r="G450" s="1" t="s">
        <v>53</v>
      </c>
      <c r="H450" s="1" t="s">
        <v>54</v>
      </c>
      <c r="I450" s="1" t="s">
        <v>737</v>
      </c>
      <c r="J450" s="2">
        <v>21</v>
      </c>
      <c r="K450" s="12">
        <v>600</v>
      </c>
      <c r="L450" s="2">
        <v>495.87</v>
      </c>
      <c r="M450" s="2">
        <v>0</v>
      </c>
      <c r="N450" s="12">
        <v>104.13</v>
      </c>
      <c r="O450" s="2">
        <v>0</v>
      </c>
      <c r="P450" s="2">
        <v>0</v>
      </c>
      <c r="Q450" s="2">
        <v>0</v>
      </c>
      <c r="R450" s="2">
        <v>0</v>
      </c>
      <c r="S450" s="8" t="str">
        <f t="shared" si="18"/>
        <v>27139111589000600005727</v>
      </c>
      <c r="T450" s="14" t="str">
        <f>IFERROR(VLOOKUP(S450,AFIP!$F$2:$R$999999,12,FALSE),"NO")</f>
        <v>NO</v>
      </c>
      <c r="U450" s="10" t="str">
        <f t="shared" si="21"/>
        <v>NO</v>
      </c>
      <c r="V450" s="10" t="str">
        <f>IFERROR(VLOOKUP(S450,AFIP!$F$2:$R$999999,13,FALSE),"NO")</f>
        <v>NO</v>
      </c>
      <c r="W450" s="1" t="str">
        <f t="shared" si="22"/>
        <v>NO</v>
      </c>
    </row>
    <row r="451" spans="1:23" x14ac:dyDescent="0.25">
      <c r="A451" s="1" t="s">
        <v>125</v>
      </c>
      <c r="B451" s="1" t="s">
        <v>126</v>
      </c>
      <c r="C451" s="1" t="s">
        <v>19</v>
      </c>
      <c r="D451" s="1">
        <v>30545692763</v>
      </c>
      <c r="E451" s="1" t="s">
        <v>20</v>
      </c>
      <c r="F451" s="1" t="s">
        <v>417</v>
      </c>
      <c r="G451" s="1" t="s">
        <v>53</v>
      </c>
      <c r="H451" s="1" t="s">
        <v>54</v>
      </c>
      <c r="I451" s="1" t="s">
        <v>1163</v>
      </c>
      <c r="J451" s="2">
        <v>27</v>
      </c>
      <c r="K451" s="12">
        <v>56020</v>
      </c>
      <c r="L451" s="2">
        <v>44110.239999999998</v>
      </c>
      <c r="M451" s="2">
        <v>0</v>
      </c>
      <c r="N451" s="12">
        <v>11909.76</v>
      </c>
      <c r="O451" s="2">
        <v>0</v>
      </c>
      <c r="P451" s="2">
        <v>0</v>
      </c>
      <c r="Q451" s="2">
        <v>0</v>
      </c>
      <c r="R451" s="2">
        <v>0</v>
      </c>
      <c r="S451" s="8" t="str">
        <f t="shared" ref="S451:S514" si="23">D451&amp;I451</f>
        <v>30545692763000600429357</v>
      </c>
      <c r="T451" s="14" t="str">
        <f>IFERROR(VLOOKUP(S451,AFIP!$F$2:$R$999999,12,FALSE),"NO")</f>
        <v>NO</v>
      </c>
      <c r="U451" s="10" t="str">
        <f t="shared" si="21"/>
        <v>NO</v>
      </c>
      <c r="V451" s="10" t="str">
        <f>IFERROR(VLOOKUP(S451,AFIP!$F$2:$R$999999,13,FALSE),"NO")</f>
        <v>NO</v>
      </c>
      <c r="W451" s="1" t="str">
        <f t="shared" si="22"/>
        <v>NO</v>
      </c>
    </row>
    <row r="452" spans="1:23" x14ac:dyDescent="0.25">
      <c r="A452" s="1" t="s">
        <v>125</v>
      </c>
      <c r="B452" s="1" t="s">
        <v>126</v>
      </c>
      <c r="C452" s="1" t="s">
        <v>19</v>
      </c>
      <c r="D452" s="1">
        <v>30545692763</v>
      </c>
      <c r="E452" s="1" t="s">
        <v>20</v>
      </c>
      <c r="F452" s="1" t="s">
        <v>417</v>
      </c>
      <c r="G452" s="1" t="s">
        <v>53</v>
      </c>
      <c r="H452" s="1" t="s">
        <v>54</v>
      </c>
      <c r="I452" s="1" t="s">
        <v>1163</v>
      </c>
      <c r="J452" s="2">
        <v>0</v>
      </c>
      <c r="K452" s="12">
        <v>9042.59</v>
      </c>
      <c r="L452" s="2">
        <v>0</v>
      </c>
      <c r="M452" s="2">
        <v>9042.59</v>
      </c>
      <c r="N452" s="12">
        <v>0</v>
      </c>
      <c r="O452" s="2">
        <v>0</v>
      </c>
      <c r="P452" s="2">
        <v>0</v>
      </c>
      <c r="Q452" s="2">
        <v>0</v>
      </c>
      <c r="R452" s="2">
        <v>0</v>
      </c>
      <c r="S452" s="8" t="str">
        <f t="shared" si="23"/>
        <v>30545692763000600429357</v>
      </c>
      <c r="T452" s="14" t="str">
        <f>IFERROR(VLOOKUP(S452,AFIP!$F$2:$R$999999,12,FALSE),"NO")</f>
        <v>NO</v>
      </c>
      <c r="U452" s="10" t="str">
        <f t="shared" si="21"/>
        <v>NO</v>
      </c>
      <c r="V452" s="10" t="str">
        <f>IFERROR(VLOOKUP(S452,AFIP!$F$2:$R$999999,13,FALSE),"NO")</f>
        <v>NO</v>
      </c>
      <c r="W452" s="1" t="str">
        <f t="shared" si="22"/>
        <v>NO</v>
      </c>
    </row>
    <row r="453" spans="1:23" x14ac:dyDescent="0.25">
      <c r="A453" s="1" t="s">
        <v>125</v>
      </c>
      <c r="B453" s="1" t="s">
        <v>126</v>
      </c>
      <c r="C453" s="1" t="s">
        <v>19</v>
      </c>
      <c r="D453" s="1">
        <v>30545692763</v>
      </c>
      <c r="E453" s="1" t="s">
        <v>20</v>
      </c>
      <c r="F453" s="1" t="s">
        <v>417</v>
      </c>
      <c r="G453" s="1" t="s">
        <v>53</v>
      </c>
      <c r="H453" s="1" t="s">
        <v>54</v>
      </c>
      <c r="I453" s="1" t="s">
        <v>1164</v>
      </c>
      <c r="J453" s="2">
        <v>27</v>
      </c>
      <c r="K453" s="12">
        <v>17927.36</v>
      </c>
      <c r="L453" s="2">
        <v>14116.03</v>
      </c>
      <c r="M453" s="2">
        <v>0</v>
      </c>
      <c r="N453" s="12">
        <v>3811.33</v>
      </c>
      <c r="O453" s="2">
        <v>0</v>
      </c>
      <c r="P453" s="2">
        <v>0</v>
      </c>
      <c r="Q453" s="2">
        <v>0</v>
      </c>
      <c r="R453" s="2">
        <v>0</v>
      </c>
      <c r="S453" s="8" t="str">
        <f t="shared" si="23"/>
        <v>30545692763000600429827</v>
      </c>
      <c r="T453" s="14" t="str">
        <f>IFERROR(VLOOKUP(S453,AFIP!$F$2:$R$999999,12,FALSE),"NO")</f>
        <v>NO</v>
      </c>
      <c r="U453" s="10" t="str">
        <f t="shared" si="21"/>
        <v>NO</v>
      </c>
      <c r="V453" s="10" t="str">
        <f>IFERROR(VLOOKUP(S453,AFIP!$F$2:$R$999999,13,FALSE),"NO")</f>
        <v>NO</v>
      </c>
      <c r="W453" s="1" t="str">
        <f t="shared" si="22"/>
        <v>NO</v>
      </c>
    </row>
    <row r="454" spans="1:23" x14ac:dyDescent="0.25">
      <c r="A454" s="1" t="s">
        <v>125</v>
      </c>
      <c r="B454" s="1" t="s">
        <v>126</v>
      </c>
      <c r="C454" s="1" t="s">
        <v>19</v>
      </c>
      <c r="D454" s="1">
        <v>30545692763</v>
      </c>
      <c r="E454" s="1" t="s">
        <v>20</v>
      </c>
      <c r="F454" s="1" t="s">
        <v>417</v>
      </c>
      <c r="G454" s="1" t="s">
        <v>53</v>
      </c>
      <c r="H454" s="1" t="s">
        <v>54</v>
      </c>
      <c r="I454" s="1" t="s">
        <v>1164</v>
      </c>
      <c r="J454" s="2">
        <v>0</v>
      </c>
      <c r="K454" s="12">
        <v>352.9</v>
      </c>
      <c r="L454" s="2">
        <v>0</v>
      </c>
      <c r="M454" s="2">
        <v>352.9</v>
      </c>
      <c r="N454" s="12">
        <v>0</v>
      </c>
      <c r="O454" s="2">
        <v>0</v>
      </c>
      <c r="P454" s="2">
        <v>0</v>
      </c>
      <c r="Q454" s="2">
        <v>0</v>
      </c>
      <c r="R454" s="2">
        <v>0</v>
      </c>
      <c r="S454" s="8" t="str">
        <f t="shared" si="23"/>
        <v>30545692763000600429827</v>
      </c>
      <c r="T454" s="14" t="str">
        <f>IFERROR(VLOOKUP(S454,AFIP!$F$2:$R$999999,12,FALSE),"NO")</f>
        <v>NO</v>
      </c>
      <c r="U454" s="10" t="str">
        <f t="shared" si="21"/>
        <v>NO</v>
      </c>
      <c r="V454" s="10" t="str">
        <f>IFERROR(VLOOKUP(S454,AFIP!$F$2:$R$999999,13,FALSE),"NO")</f>
        <v>NO</v>
      </c>
      <c r="W454" s="1" t="str">
        <f t="shared" si="22"/>
        <v>NO</v>
      </c>
    </row>
    <row r="455" spans="1:23" hidden="1" x14ac:dyDescent="0.25">
      <c r="A455" s="1" t="s">
        <v>1165</v>
      </c>
      <c r="B455" s="1" t="s">
        <v>918</v>
      </c>
      <c r="C455" s="1" t="s">
        <v>19</v>
      </c>
      <c r="D455" s="1">
        <v>20285650942</v>
      </c>
      <c r="E455" s="1" t="s">
        <v>20</v>
      </c>
      <c r="F455" s="1" t="s">
        <v>417</v>
      </c>
      <c r="G455" s="1" t="s">
        <v>53</v>
      </c>
      <c r="H455" s="1" t="s">
        <v>54</v>
      </c>
      <c r="I455" s="1" t="s">
        <v>1166</v>
      </c>
      <c r="J455" s="2">
        <v>21</v>
      </c>
      <c r="K455" s="12">
        <v>33636.79</v>
      </c>
      <c r="L455" s="2">
        <v>27799</v>
      </c>
      <c r="M455" s="2">
        <v>0</v>
      </c>
      <c r="N455" s="12">
        <v>5837.79</v>
      </c>
      <c r="O455" s="2">
        <v>0</v>
      </c>
      <c r="P455" s="2">
        <v>0</v>
      </c>
      <c r="Q455" s="2">
        <v>0</v>
      </c>
      <c r="R455" s="2">
        <v>0</v>
      </c>
      <c r="S455" s="8" t="str">
        <f t="shared" si="23"/>
        <v>20285650942001000003257</v>
      </c>
      <c r="T455" s="14">
        <f>IFERROR(VLOOKUP(S455,AFIP!$F$2:$R$999999,12,FALSE),"NO")</f>
        <v>5837.79</v>
      </c>
      <c r="U455" s="10" t="str">
        <f t="shared" si="21"/>
        <v>SI</v>
      </c>
      <c r="V455" s="10">
        <f>IFERROR(VLOOKUP(S455,AFIP!$F$2:$R$999999,13,FALSE),"NO")</f>
        <v>33636.79</v>
      </c>
      <c r="W455" s="1" t="str">
        <f t="shared" si="22"/>
        <v>SI</v>
      </c>
    </row>
    <row r="456" spans="1:23" hidden="1" x14ac:dyDescent="0.25">
      <c r="A456" s="1" t="s">
        <v>35</v>
      </c>
      <c r="B456" s="1" t="s">
        <v>36</v>
      </c>
      <c r="C456" s="1" t="s">
        <v>19</v>
      </c>
      <c r="D456" s="1">
        <v>33522734549</v>
      </c>
      <c r="E456" s="1" t="s">
        <v>20</v>
      </c>
      <c r="F456" s="1" t="s">
        <v>417</v>
      </c>
      <c r="G456" s="1" t="s">
        <v>53</v>
      </c>
      <c r="H456" s="1" t="s">
        <v>54</v>
      </c>
      <c r="I456" s="1" t="s">
        <v>738</v>
      </c>
      <c r="J456" s="2">
        <v>21</v>
      </c>
      <c r="K456" s="12">
        <v>90530.34</v>
      </c>
      <c r="L456" s="2">
        <v>71565.490000000005</v>
      </c>
      <c r="M456" s="2">
        <v>0</v>
      </c>
      <c r="N456" s="12">
        <v>15028.75</v>
      </c>
      <c r="O456" s="2">
        <v>2146.96</v>
      </c>
      <c r="P456" s="2">
        <v>1789.14</v>
      </c>
      <c r="Q456" s="2">
        <v>0</v>
      </c>
      <c r="R456" s="2">
        <v>0</v>
      </c>
      <c r="S456" s="8" t="str">
        <f t="shared" si="23"/>
        <v>33522734549002100302205</v>
      </c>
      <c r="T456" s="14">
        <f>IFERROR(VLOOKUP(S456,AFIP!$F$2:$R$999999,12,FALSE),"NO")</f>
        <v>15028.75</v>
      </c>
      <c r="U456" s="10" t="str">
        <f t="shared" si="21"/>
        <v>SI</v>
      </c>
      <c r="V456" s="10">
        <f>IFERROR(VLOOKUP(S456,AFIP!$F$2:$R$999999,13,FALSE),"NO")</f>
        <v>90530.34</v>
      </c>
      <c r="W456" s="1" t="str">
        <f t="shared" si="22"/>
        <v>SI</v>
      </c>
    </row>
    <row r="457" spans="1:23" hidden="1" x14ac:dyDescent="0.25">
      <c r="A457" s="1" t="s">
        <v>35</v>
      </c>
      <c r="B457" s="1" t="s">
        <v>36</v>
      </c>
      <c r="C457" s="1" t="s">
        <v>19</v>
      </c>
      <c r="D457" s="1">
        <v>33522734549</v>
      </c>
      <c r="E457" s="1" t="s">
        <v>20</v>
      </c>
      <c r="F457" s="1" t="s">
        <v>417</v>
      </c>
      <c r="G457" s="1" t="s">
        <v>53</v>
      </c>
      <c r="H457" s="1" t="s">
        <v>54</v>
      </c>
      <c r="I457" s="1" t="s">
        <v>739</v>
      </c>
      <c r="J457" s="2">
        <v>21</v>
      </c>
      <c r="K457" s="12">
        <v>92962.62</v>
      </c>
      <c r="L457" s="2">
        <v>73488.23</v>
      </c>
      <c r="M457" s="2">
        <v>0</v>
      </c>
      <c r="N457" s="12">
        <v>15432.53</v>
      </c>
      <c r="O457" s="2">
        <v>2204.65</v>
      </c>
      <c r="P457" s="2">
        <v>1837.21</v>
      </c>
      <c r="Q457" s="2">
        <v>0</v>
      </c>
      <c r="R457" s="2">
        <v>0</v>
      </c>
      <c r="S457" s="8" t="str">
        <f t="shared" si="23"/>
        <v>33522734549002100302206</v>
      </c>
      <c r="T457" s="14">
        <f>IFERROR(VLOOKUP(S457,AFIP!$F$2:$R$999999,12,FALSE),"NO")</f>
        <v>15432.53</v>
      </c>
      <c r="U457" s="10" t="str">
        <f t="shared" si="21"/>
        <v>SI</v>
      </c>
      <c r="V457" s="10">
        <f>IFERROR(VLOOKUP(S457,AFIP!$F$2:$R$999999,13,FALSE),"NO")</f>
        <v>92962.62</v>
      </c>
      <c r="W457" s="1" t="str">
        <f t="shared" si="22"/>
        <v>SI</v>
      </c>
    </row>
    <row r="458" spans="1:23" x14ac:dyDescent="0.25">
      <c r="A458" s="1" t="s">
        <v>1167</v>
      </c>
      <c r="B458" s="1" t="s">
        <v>1168</v>
      </c>
      <c r="C458" s="1" t="s">
        <v>19</v>
      </c>
      <c r="D458" s="1">
        <v>30668314313</v>
      </c>
      <c r="E458" s="1" t="s">
        <v>20</v>
      </c>
      <c r="F458" s="1" t="s">
        <v>417</v>
      </c>
      <c r="G458" s="1" t="s">
        <v>53</v>
      </c>
      <c r="H458" s="1" t="s">
        <v>54</v>
      </c>
      <c r="I458" s="1" t="s">
        <v>1169</v>
      </c>
      <c r="J458" s="2">
        <v>21</v>
      </c>
      <c r="K458" s="12">
        <v>42188.67</v>
      </c>
      <c r="L458" s="2">
        <v>34866.67</v>
      </c>
      <c r="M458" s="2">
        <v>0</v>
      </c>
      <c r="N458" s="12">
        <v>7322</v>
      </c>
      <c r="O458" s="2">
        <v>0</v>
      </c>
      <c r="P458" s="2">
        <v>0</v>
      </c>
      <c r="Q458" s="2">
        <v>0</v>
      </c>
      <c r="R458" s="2">
        <v>0</v>
      </c>
      <c r="S458" s="8" t="str">
        <f t="shared" si="23"/>
        <v>30668314313002800044332</v>
      </c>
      <c r="T458" s="14" t="str">
        <f>IFERROR(VLOOKUP(S458,AFIP!$F$2:$R$999999,12,FALSE),"NO")</f>
        <v>NO</v>
      </c>
      <c r="U458" s="10" t="str">
        <f t="shared" si="21"/>
        <v>NO</v>
      </c>
      <c r="V458" s="10" t="str">
        <f>IFERROR(VLOOKUP(S458,AFIP!$F$2:$R$999999,13,FALSE),"NO")</f>
        <v>NO</v>
      </c>
      <c r="W458" s="1" t="str">
        <f t="shared" si="22"/>
        <v>NO</v>
      </c>
    </row>
    <row r="459" spans="1:23" x14ac:dyDescent="0.25">
      <c r="A459" s="1" t="s">
        <v>1167</v>
      </c>
      <c r="B459" s="1" t="s">
        <v>1168</v>
      </c>
      <c r="C459" s="1" t="s">
        <v>19</v>
      </c>
      <c r="D459" s="1">
        <v>30668314313</v>
      </c>
      <c r="E459" s="1" t="s">
        <v>20</v>
      </c>
      <c r="F459" s="1" t="s">
        <v>417</v>
      </c>
      <c r="G459" s="1" t="s">
        <v>53</v>
      </c>
      <c r="H459" s="1" t="s">
        <v>54</v>
      </c>
      <c r="I459" s="1" t="s">
        <v>1169</v>
      </c>
      <c r="J459" s="2">
        <v>0</v>
      </c>
      <c r="K459" s="12">
        <v>7812.18</v>
      </c>
      <c r="L459" s="2">
        <v>0</v>
      </c>
      <c r="M459" s="2">
        <v>7812.18</v>
      </c>
      <c r="N459" s="12">
        <v>0</v>
      </c>
      <c r="O459" s="2">
        <v>0</v>
      </c>
      <c r="P459" s="2">
        <v>0</v>
      </c>
      <c r="Q459" s="2">
        <v>0</v>
      </c>
      <c r="R459" s="2">
        <v>0</v>
      </c>
      <c r="S459" s="8" t="str">
        <f t="shared" si="23"/>
        <v>30668314313002800044332</v>
      </c>
      <c r="T459" s="14" t="str">
        <f>IFERROR(VLOOKUP(S459,AFIP!$F$2:$R$999999,12,FALSE),"NO")</f>
        <v>NO</v>
      </c>
      <c r="U459" s="10" t="str">
        <f t="shared" si="21"/>
        <v>NO</v>
      </c>
      <c r="V459" s="10" t="str">
        <f>IFERROR(VLOOKUP(S459,AFIP!$F$2:$R$999999,13,FALSE),"NO")</f>
        <v>NO</v>
      </c>
      <c r="W459" s="1" t="str">
        <f t="shared" si="22"/>
        <v>NO</v>
      </c>
    </row>
    <row r="460" spans="1:23" x14ac:dyDescent="0.25">
      <c r="A460" s="1" t="s">
        <v>1167</v>
      </c>
      <c r="B460" s="1" t="s">
        <v>1168</v>
      </c>
      <c r="C460" s="1" t="s">
        <v>19</v>
      </c>
      <c r="D460" s="1">
        <v>30668314313</v>
      </c>
      <c r="E460" s="1" t="s">
        <v>20</v>
      </c>
      <c r="F460" s="1" t="s">
        <v>417</v>
      </c>
      <c r="G460" s="1" t="s">
        <v>53</v>
      </c>
      <c r="H460" s="1" t="s">
        <v>54</v>
      </c>
      <c r="I460" s="1" t="s">
        <v>1170</v>
      </c>
      <c r="J460" s="2">
        <v>21</v>
      </c>
      <c r="K460" s="12">
        <v>12800</v>
      </c>
      <c r="L460" s="2">
        <v>10578.51</v>
      </c>
      <c r="M460" s="2">
        <v>0</v>
      </c>
      <c r="N460" s="12">
        <v>2221.4899999999998</v>
      </c>
      <c r="O460" s="2">
        <v>0</v>
      </c>
      <c r="P460" s="2">
        <v>0</v>
      </c>
      <c r="Q460" s="2">
        <v>0</v>
      </c>
      <c r="R460" s="2">
        <v>0</v>
      </c>
      <c r="S460" s="8" t="str">
        <f t="shared" si="23"/>
        <v>30668314313002900005796</v>
      </c>
      <c r="T460" s="14" t="str">
        <f>IFERROR(VLOOKUP(S460,AFIP!$F$2:$R$999999,12,FALSE),"NO")</f>
        <v>NO</v>
      </c>
      <c r="U460" s="10" t="str">
        <f t="shared" si="21"/>
        <v>NO</v>
      </c>
      <c r="V460" s="10" t="str">
        <f>IFERROR(VLOOKUP(S460,AFIP!$F$2:$R$999999,13,FALSE),"NO")</f>
        <v>NO</v>
      </c>
      <c r="W460" s="1" t="str">
        <f t="shared" si="22"/>
        <v>NO</v>
      </c>
    </row>
    <row r="461" spans="1:23" hidden="1" x14ac:dyDescent="0.25">
      <c r="A461" s="1" t="s">
        <v>29</v>
      </c>
      <c r="B461" s="1" t="s">
        <v>30</v>
      </c>
      <c r="C461" s="1" t="s">
        <v>19</v>
      </c>
      <c r="D461" s="1">
        <v>30621181838</v>
      </c>
      <c r="E461" s="1" t="s">
        <v>20</v>
      </c>
      <c r="F461" s="1" t="s">
        <v>417</v>
      </c>
      <c r="G461" s="1" t="s">
        <v>53</v>
      </c>
      <c r="H461" s="1" t="s">
        <v>54</v>
      </c>
      <c r="I461" s="1" t="s">
        <v>740</v>
      </c>
      <c r="J461" s="2">
        <v>21</v>
      </c>
      <c r="K461" s="12">
        <v>535221.96</v>
      </c>
      <c r="L461" s="2">
        <v>442332.19</v>
      </c>
      <c r="M461" s="2">
        <v>0</v>
      </c>
      <c r="N461" s="12">
        <v>92889.77</v>
      </c>
      <c r="O461" s="2">
        <v>0</v>
      </c>
      <c r="P461" s="2">
        <v>0</v>
      </c>
      <c r="Q461" s="2">
        <v>0</v>
      </c>
      <c r="R461" s="2">
        <v>0</v>
      </c>
      <c r="S461" s="8" t="str">
        <f t="shared" si="23"/>
        <v>30621181838003200255093</v>
      </c>
      <c r="T461" s="14">
        <f>IFERROR(VLOOKUP(S461,AFIP!$F$2:$R$999999,12,FALSE),"NO")</f>
        <v>92889.77</v>
      </c>
      <c r="U461" s="10" t="str">
        <f t="shared" si="21"/>
        <v>SI</v>
      </c>
      <c r="V461" s="10">
        <f>IFERROR(VLOOKUP(S461,AFIP!$F$2:$R$999999,13,FALSE),"NO")</f>
        <v>535221.96</v>
      </c>
      <c r="W461" s="1" t="str">
        <f t="shared" si="22"/>
        <v>SI</v>
      </c>
    </row>
    <row r="462" spans="1:23" hidden="1" x14ac:dyDescent="0.25">
      <c r="A462" s="1" t="s">
        <v>29</v>
      </c>
      <c r="B462" s="1" t="s">
        <v>30</v>
      </c>
      <c r="C462" s="1" t="s">
        <v>19</v>
      </c>
      <c r="D462" s="1">
        <v>30621181838</v>
      </c>
      <c r="E462" s="1" t="s">
        <v>20</v>
      </c>
      <c r="F462" s="1" t="s">
        <v>417</v>
      </c>
      <c r="G462" s="1" t="s">
        <v>53</v>
      </c>
      <c r="H462" s="1" t="s">
        <v>54</v>
      </c>
      <c r="I462" s="1" t="s">
        <v>741</v>
      </c>
      <c r="J462" s="2">
        <v>21</v>
      </c>
      <c r="K462" s="12">
        <v>54142.01</v>
      </c>
      <c r="L462" s="2">
        <v>44745.46</v>
      </c>
      <c r="M462" s="2">
        <v>0</v>
      </c>
      <c r="N462" s="12">
        <v>9396.5499999999993</v>
      </c>
      <c r="O462" s="2">
        <v>0</v>
      </c>
      <c r="P462" s="2">
        <v>0</v>
      </c>
      <c r="Q462" s="2">
        <v>0</v>
      </c>
      <c r="R462" s="2">
        <v>0</v>
      </c>
      <c r="S462" s="8" t="str">
        <f t="shared" si="23"/>
        <v>30621181838003200255094</v>
      </c>
      <c r="T462" s="14">
        <f>IFERROR(VLOOKUP(S462,AFIP!$F$2:$R$999999,12,FALSE),"NO")</f>
        <v>9396.5499999999993</v>
      </c>
      <c r="U462" s="10" t="str">
        <f t="shared" si="21"/>
        <v>SI</v>
      </c>
      <c r="V462" s="10">
        <f>IFERROR(VLOOKUP(S462,AFIP!$F$2:$R$999999,13,FALSE),"NO")</f>
        <v>54142.01</v>
      </c>
      <c r="W462" s="1" t="str">
        <f t="shared" si="22"/>
        <v>SI</v>
      </c>
    </row>
    <row r="463" spans="1:23" x14ac:dyDescent="0.25">
      <c r="A463" s="1" t="s">
        <v>33</v>
      </c>
      <c r="B463" s="1" t="s">
        <v>34</v>
      </c>
      <c r="C463" s="1" t="s">
        <v>19</v>
      </c>
      <c r="D463" s="1">
        <v>33708336969</v>
      </c>
      <c r="E463" s="1" t="s">
        <v>20</v>
      </c>
      <c r="F463" s="1" t="s">
        <v>417</v>
      </c>
      <c r="G463" s="1" t="s">
        <v>53</v>
      </c>
      <c r="H463" s="1" t="s">
        <v>54</v>
      </c>
      <c r="I463" s="1" t="s">
        <v>742</v>
      </c>
      <c r="J463" s="2">
        <v>21</v>
      </c>
      <c r="K463" s="12">
        <v>8166.1</v>
      </c>
      <c r="L463" s="2">
        <v>6748.84</v>
      </c>
      <c r="M463" s="2">
        <v>0</v>
      </c>
      <c r="N463" s="12">
        <v>1417.26</v>
      </c>
      <c r="O463" s="2">
        <v>0</v>
      </c>
      <c r="P463" s="2">
        <v>0</v>
      </c>
      <c r="Q463" s="2">
        <v>0</v>
      </c>
      <c r="R463" s="2">
        <v>0</v>
      </c>
      <c r="S463" s="8" t="str">
        <f t="shared" si="23"/>
        <v>33708336969003600012209</v>
      </c>
      <c r="T463" s="14" t="str">
        <f>IFERROR(VLOOKUP(S463,AFIP!$F$2:$R$999999,12,FALSE),"NO")</f>
        <v>NO</v>
      </c>
      <c r="U463" s="10" t="str">
        <f t="shared" si="21"/>
        <v>NO</v>
      </c>
      <c r="V463" s="10" t="str">
        <f>IFERROR(VLOOKUP(S463,AFIP!$F$2:$R$999999,13,FALSE),"NO")</f>
        <v>NO</v>
      </c>
      <c r="W463" s="1" t="str">
        <f t="shared" si="22"/>
        <v>NO</v>
      </c>
    </row>
    <row r="464" spans="1:23" x14ac:dyDescent="0.25">
      <c r="A464" s="1" t="s">
        <v>33</v>
      </c>
      <c r="B464" s="1" t="s">
        <v>34</v>
      </c>
      <c r="C464" s="1" t="s">
        <v>19</v>
      </c>
      <c r="D464" s="1">
        <v>33708336969</v>
      </c>
      <c r="E464" s="1" t="s">
        <v>20</v>
      </c>
      <c r="F464" s="1" t="s">
        <v>417</v>
      </c>
      <c r="G464" s="1" t="s">
        <v>53</v>
      </c>
      <c r="H464" s="1" t="s">
        <v>54</v>
      </c>
      <c r="I464" s="1" t="s">
        <v>742</v>
      </c>
      <c r="J464" s="2">
        <v>0</v>
      </c>
      <c r="K464" s="12">
        <v>33.9</v>
      </c>
      <c r="L464" s="2">
        <v>0</v>
      </c>
      <c r="M464" s="2">
        <v>33.9</v>
      </c>
      <c r="N464" s="12">
        <v>0</v>
      </c>
      <c r="O464" s="2">
        <v>0</v>
      </c>
      <c r="P464" s="2">
        <v>0</v>
      </c>
      <c r="Q464" s="2">
        <v>0</v>
      </c>
      <c r="R464" s="2">
        <v>0</v>
      </c>
      <c r="S464" s="8" t="str">
        <f t="shared" si="23"/>
        <v>33708336969003600012209</v>
      </c>
      <c r="T464" s="14" t="str">
        <f>IFERROR(VLOOKUP(S464,AFIP!$F$2:$R$999999,12,FALSE),"NO")</f>
        <v>NO</v>
      </c>
      <c r="U464" s="10" t="str">
        <f t="shared" si="21"/>
        <v>NO</v>
      </c>
      <c r="V464" s="10" t="str">
        <f>IFERROR(VLOOKUP(S464,AFIP!$F$2:$R$999999,13,FALSE),"NO")</f>
        <v>NO</v>
      </c>
      <c r="W464" s="1" t="str">
        <f t="shared" si="22"/>
        <v>NO</v>
      </c>
    </row>
    <row r="465" spans="1:23" x14ac:dyDescent="0.25">
      <c r="A465" s="1" t="s">
        <v>263</v>
      </c>
      <c r="B465" s="1" t="s">
        <v>264</v>
      </c>
      <c r="C465" s="1" t="s">
        <v>19</v>
      </c>
      <c r="D465" s="1">
        <v>30521137963</v>
      </c>
      <c r="E465" s="1" t="s">
        <v>20</v>
      </c>
      <c r="F465" s="1" t="s">
        <v>417</v>
      </c>
      <c r="G465" s="1" t="s">
        <v>53</v>
      </c>
      <c r="H465" s="1" t="s">
        <v>54</v>
      </c>
      <c r="I465" s="1" t="s">
        <v>743</v>
      </c>
      <c r="J465" s="2">
        <v>21</v>
      </c>
      <c r="K465" s="12">
        <v>28801.67</v>
      </c>
      <c r="L465" s="2">
        <v>23803.03</v>
      </c>
      <c r="M465" s="2">
        <v>0</v>
      </c>
      <c r="N465" s="12">
        <v>4998.6400000000003</v>
      </c>
      <c r="O465" s="2">
        <v>0</v>
      </c>
      <c r="P465" s="2">
        <v>0</v>
      </c>
      <c r="Q465" s="2">
        <v>0</v>
      </c>
      <c r="R465" s="2">
        <v>0</v>
      </c>
      <c r="S465" s="8" t="str">
        <f t="shared" si="23"/>
        <v>30521137963013900006270</v>
      </c>
      <c r="T465" s="14" t="str">
        <f>IFERROR(VLOOKUP(S465,AFIP!$F$2:$R$999999,12,FALSE),"NO")</f>
        <v>NO</v>
      </c>
      <c r="U465" s="10" t="str">
        <f t="shared" si="21"/>
        <v>NO</v>
      </c>
      <c r="V465" s="10" t="str">
        <f>IFERROR(VLOOKUP(S465,AFIP!$F$2:$R$999999,13,FALSE),"NO")</f>
        <v>NO</v>
      </c>
      <c r="W465" s="1" t="str">
        <f t="shared" si="22"/>
        <v>NO</v>
      </c>
    </row>
    <row r="466" spans="1:23" x14ac:dyDescent="0.25">
      <c r="A466" s="1" t="s">
        <v>263</v>
      </c>
      <c r="B466" s="1" t="s">
        <v>264</v>
      </c>
      <c r="C466" s="1" t="s">
        <v>19</v>
      </c>
      <c r="D466" s="1">
        <v>30521137963</v>
      </c>
      <c r="E466" s="1" t="s">
        <v>20</v>
      </c>
      <c r="F466" s="1" t="s">
        <v>417</v>
      </c>
      <c r="G466" s="1" t="s">
        <v>53</v>
      </c>
      <c r="H466" s="1" t="s">
        <v>54</v>
      </c>
      <c r="I466" s="1" t="s">
        <v>743</v>
      </c>
      <c r="J466" s="2">
        <v>0</v>
      </c>
      <c r="K466" s="12">
        <v>38.340000000000003</v>
      </c>
      <c r="L466" s="2">
        <v>0</v>
      </c>
      <c r="M466" s="2">
        <v>38.340000000000003</v>
      </c>
      <c r="N466" s="12">
        <v>0</v>
      </c>
      <c r="O466" s="2">
        <v>0</v>
      </c>
      <c r="P466" s="2">
        <v>0</v>
      </c>
      <c r="Q466" s="2">
        <v>0</v>
      </c>
      <c r="R466" s="2">
        <v>0</v>
      </c>
      <c r="S466" s="8" t="str">
        <f t="shared" si="23"/>
        <v>30521137963013900006270</v>
      </c>
      <c r="T466" s="14" t="str">
        <f>IFERROR(VLOOKUP(S466,AFIP!$F$2:$R$999999,12,FALSE),"NO")</f>
        <v>NO</v>
      </c>
      <c r="U466" s="10" t="str">
        <f t="shared" si="21"/>
        <v>NO</v>
      </c>
      <c r="V466" s="10" t="str">
        <f>IFERROR(VLOOKUP(S466,AFIP!$F$2:$R$999999,13,FALSE),"NO")</f>
        <v>NO</v>
      </c>
      <c r="W466" s="1" t="str">
        <f t="shared" si="22"/>
        <v>NO</v>
      </c>
    </row>
    <row r="467" spans="1:23" x14ac:dyDescent="0.25">
      <c r="A467" s="1" t="s">
        <v>1104</v>
      </c>
      <c r="B467" s="1" t="s">
        <v>1105</v>
      </c>
      <c r="C467" s="1" t="s">
        <v>19</v>
      </c>
      <c r="D467" s="1">
        <v>30709514144</v>
      </c>
      <c r="E467" s="1" t="s">
        <v>20</v>
      </c>
      <c r="F467" s="1" t="s">
        <v>417</v>
      </c>
      <c r="G467" s="1" t="s">
        <v>53</v>
      </c>
      <c r="H467" s="1" t="s">
        <v>54</v>
      </c>
      <c r="I467" s="1" t="s">
        <v>1171</v>
      </c>
      <c r="J467" s="2">
        <v>27</v>
      </c>
      <c r="K467" s="12">
        <v>18115.89</v>
      </c>
      <c r="L467" s="2">
        <v>13935.3</v>
      </c>
      <c r="M467" s="2">
        <v>0</v>
      </c>
      <c r="N467" s="12">
        <v>3762.53</v>
      </c>
      <c r="O467" s="2">
        <v>418.06</v>
      </c>
      <c r="P467" s="2">
        <v>0</v>
      </c>
      <c r="Q467" s="2">
        <v>0</v>
      </c>
      <c r="R467" s="2">
        <v>0</v>
      </c>
      <c r="S467" s="8" t="str">
        <f t="shared" si="23"/>
        <v>30709514144020001490733</v>
      </c>
      <c r="T467" s="14" t="str">
        <f>IFERROR(VLOOKUP(S467,AFIP!$F$2:$R$999999,12,FALSE),"NO")</f>
        <v>NO</v>
      </c>
      <c r="U467" s="10" t="str">
        <f t="shared" si="21"/>
        <v>NO</v>
      </c>
      <c r="V467" s="10" t="str">
        <f>IFERROR(VLOOKUP(S467,AFIP!$F$2:$R$999999,13,FALSE),"NO")</f>
        <v>NO</v>
      </c>
      <c r="W467" s="1" t="str">
        <f t="shared" si="22"/>
        <v>NO</v>
      </c>
    </row>
    <row r="468" spans="1:23" x14ac:dyDescent="0.25">
      <c r="A468" s="1" t="s">
        <v>1104</v>
      </c>
      <c r="B468" s="1" t="s">
        <v>1105</v>
      </c>
      <c r="C468" s="1" t="s">
        <v>19</v>
      </c>
      <c r="D468" s="1">
        <v>30709514144</v>
      </c>
      <c r="E468" s="1" t="s">
        <v>20</v>
      </c>
      <c r="F468" s="1" t="s">
        <v>417</v>
      </c>
      <c r="G468" s="1" t="s">
        <v>53</v>
      </c>
      <c r="H468" s="1" t="s">
        <v>54</v>
      </c>
      <c r="I468" s="1" t="s">
        <v>1171</v>
      </c>
      <c r="J468" s="2">
        <v>0</v>
      </c>
      <c r="K468" s="12">
        <v>362.32</v>
      </c>
      <c r="L468" s="2">
        <v>0</v>
      </c>
      <c r="M468" s="2">
        <v>362.32</v>
      </c>
      <c r="N468" s="12">
        <v>0</v>
      </c>
      <c r="O468" s="2">
        <v>0</v>
      </c>
      <c r="P468" s="2">
        <v>0</v>
      </c>
      <c r="Q468" s="2">
        <v>0</v>
      </c>
      <c r="R468" s="2">
        <v>0</v>
      </c>
      <c r="S468" s="8" t="str">
        <f t="shared" si="23"/>
        <v>30709514144020001490733</v>
      </c>
      <c r="T468" s="14" t="str">
        <f>IFERROR(VLOOKUP(S468,AFIP!$F$2:$R$999999,12,FALSE),"NO")</f>
        <v>NO</v>
      </c>
      <c r="U468" s="10" t="str">
        <f t="shared" si="21"/>
        <v>NO</v>
      </c>
      <c r="V468" s="10" t="str">
        <f>IFERROR(VLOOKUP(S468,AFIP!$F$2:$R$999999,13,FALSE),"NO")</f>
        <v>NO</v>
      </c>
      <c r="W468" s="1" t="str">
        <f t="shared" si="22"/>
        <v>NO</v>
      </c>
    </row>
    <row r="469" spans="1:23" x14ac:dyDescent="0.25">
      <c r="A469" s="1" t="s">
        <v>1104</v>
      </c>
      <c r="B469" s="1" t="s">
        <v>1105</v>
      </c>
      <c r="C469" s="1" t="s">
        <v>19</v>
      </c>
      <c r="D469" s="1">
        <v>30709514144</v>
      </c>
      <c r="E469" s="1" t="s">
        <v>20</v>
      </c>
      <c r="F469" s="1" t="s">
        <v>417</v>
      </c>
      <c r="G469" s="1" t="s">
        <v>53</v>
      </c>
      <c r="H469" s="1" t="s">
        <v>54</v>
      </c>
      <c r="I469" s="1" t="s">
        <v>1172</v>
      </c>
      <c r="J469" s="2">
        <v>27</v>
      </c>
      <c r="K469" s="12">
        <v>22719.53</v>
      </c>
      <c r="L469" s="2">
        <v>17476.560000000001</v>
      </c>
      <c r="M469" s="2">
        <v>0</v>
      </c>
      <c r="N469" s="12">
        <v>4718.67</v>
      </c>
      <c r="O469" s="2">
        <v>524.29999999999995</v>
      </c>
      <c r="P469" s="2">
        <v>0</v>
      </c>
      <c r="Q469" s="2">
        <v>0</v>
      </c>
      <c r="R469" s="2">
        <v>0</v>
      </c>
      <c r="S469" s="8" t="str">
        <f t="shared" si="23"/>
        <v>30709514144020001490999</v>
      </c>
      <c r="T469" s="14" t="str">
        <f>IFERROR(VLOOKUP(S469,AFIP!$F$2:$R$999999,12,FALSE),"NO")</f>
        <v>NO</v>
      </c>
      <c r="U469" s="10" t="str">
        <f t="shared" si="21"/>
        <v>NO</v>
      </c>
      <c r="V469" s="10" t="str">
        <f>IFERROR(VLOOKUP(S469,AFIP!$F$2:$R$999999,13,FALSE),"NO")</f>
        <v>NO</v>
      </c>
      <c r="W469" s="1" t="str">
        <f t="shared" si="22"/>
        <v>NO</v>
      </c>
    </row>
    <row r="470" spans="1:23" x14ac:dyDescent="0.25">
      <c r="A470" s="1" t="s">
        <v>1104</v>
      </c>
      <c r="B470" s="1" t="s">
        <v>1105</v>
      </c>
      <c r="C470" s="1" t="s">
        <v>19</v>
      </c>
      <c r="D470" s="1">
        <v>30709514144</v>
      </c>
      <c r="E470" s="1" t="s">
        <v>20</v>
      </c>
      <c r="F470" s="1" t="s">
        <v>417</v>
      </c>
      <c r="G470" s="1" t="s">
        <v>53</v>
      </c>
      <c r="H470" s="1" t="s">
        <v>54</v>
      </c>
      <c r="I470" s="1" t="s">
        <v>1172</v>
      </c>
      <c r="J470" s="2">
        <v>0</v>
      </c>
      <c r="K470" s="12">
        <v>454.39</v>
      </c>
      <c r="L470" s="2">
        <v>0</v>
      </c>
      <c r="M470" s="2">
        <v>454.39</v>
      </c>
      <c r="N470" s="12">
        <v>0</v>
      </c>
      <c r="O470" s="2">
        <v>0</v>
      </c>
      <c r="P470" s="2">
        <v>0</v>
      </c>
      <c r="Q470" s="2">
        <v>0</v>
      </c>
      <c r="R470" s="2">
        <v>0</v>
      </c>
      <c r="S470" s="8" t="str">
        <f t="shared" si="23"/>
        <v>30709514144020001490999</v>
      </c>
      <c r="T470" s="14" t="str">
        <f>IFERROR(VLOOKUP(S470,AFIP!$F$2:$R$999999,12,FALSE),"NO")</f>
        <v>NO</v>
      </c>
      <c r="U470" s="10" t="str">
        <f t="shared" si="21"/>
        <v>NO</v>
      </c>
      <c r="V470" s="10" t="str">
        <f>IFERROR(VLOOKUP(S470,AFIP!$F$2:$R$999999,13,FALSE),"NO")</f>
        <v>NO</v>
      </c>
      <c r="W470" s="1" t="str">
        <f t="shared" si="22"/>
        <v>NO</v>
      </c>
    </row>
    <row r="471" spans="1:23" x14ac:dyDescent="0.25">
      <c r="A471" s="1" t="s">
        <v>1104</v>
      </c>
      <c r="B471" s="1" t="s">
        <v>1105</v>
      </c>
      <c r="C471" s="1" t="s">
        <v>19</v>
      </c>
      <c r="D471" s="1">
        <v>30709514144</v>
      </c>
      <c r="E471" s="1" t="s">
        <v>20</v>
      </c>
      <c r="F471" s="1" t="s">
        <v>417</v>
      </c>
      <c r="G471" s="1" t="s">
        <v>53</v>
      </c>
      <c r="H471" s="1" t="s">
        <v>54</v>
      </c>
      <c r="I471" s="1" t="s">
        <v>1173</v>
      </c>
      <c r="J471" s="2">
        <v>27</v>
      </c>
      <c r="K471" s="12">
        <v>27323.14</v>
      </c>
      <c r="L471" s="2">
        <v>21017.8</v>
      </c>
      <c r="M471" s="2">
        <v>0</v>
      </c>
      <c r="N471" s="12">
        <v>5674.81</v>
      </c>
      <c r="O471" s="2">
        <v>630.53</v>
      </c>
      <c r="P471" s="2">
        <v>0</v>
      </c>
      <c r="Q471" s="2">
        <v>0</v>
      </c>
      <c r="R471" s="2">
        <v>0</v>
      </c>
      <c r="S471" s="8" t="str">
        <f t="shared" si="23"/>
        <v>30709514144020001491737</v>
      </c>
      <c r="T471" s="14" t="str">
        <f>IFERROR(VLOOKUP(S471,AFIP!$F$2:$R$999999,12,FALSE),"NO")</f>
        <v>NO</v>
      </c>
      <c r="U471" s="10" t="str">
        <f t="shared" si="21"/>
        <v>NO</v>
      </c>
      <c r="V471" s="10" t="str">
        <f>IFERROR(VLOOKUP(S471,AFIP!$F$2:$R$999999,13,FALSE),"NO")</f>
        <v>NO</v>
      </c>
      <c r="W471" s="1" t="str">
        <f t="shared" si="22"/>
        <v>NO</v>
      </c>
    </row>
    <row r="472" spans="1:23" x14ac:dyDescent="0.25">
      <c r="A472" s="1" t="s">
        <v>1104</v>
      </c>
      <c r="B472" s="1" t="s">
        <v>1105</v>
      </c>
      <c r="C472" s="1" t="s">
        <v>19</v>
      </c>
      <c r="D472" s="1">
        <v>30709514144</v>
      </c>
      <c r="E472" s="1" t="s">
        <v>20</v>
      </c>
      <c r="F472" s="1" t="s">
        <v>417</v>
      </c>
      <c r="G472" s="1" t="s">
        <v>53</v>
      </c>
      <c r="H472" s="1" t="s">
        <v>54</v>
      </c>
      <c r="I472" s="1" t="s">
        <v>1173</v>
      </c>
      <c r="J472" s="2">
        <v>0</v>
      </c>
      <c r="K472" s="12">
        <v>546.46</v>
      </c>
      <c r="L472" s="2">
        <v>0</v>
      </c>
      <c r="M472" s="2">
        <v>546.46</v>
      </c>
      <c r="N472" s="12">
        <v>0</v>
      </c>
      <c r="O472" s="2">
        <v>0</v>
      </c>
      <c r="P472" s="2">
        <v>0</v>
      </c>
      <c r="Q472" s="2">
        <v>0</v>
      </c>
      <c r="R472" s="2">
        <v>0</v>
      </c>
      <c r="S472" s="8" t="str">
        <f t="shared" si="23"/>
        <v>30709514144020001491737</v>
      </c>
      <c r="T472" s="14" t="str">
        <f>IFERROR(VLOOKUP(S472,AFIP!$F$2:$R$999999,12,FALSE),"NO")</f>
        <v>NO</v>
      </c>
      <c r="U472" s="10" t="str">
        <f t="shared" si="21"/>
        <v>NO</v>
      </c>
      <c r="V472" s="10" t="str">
        <f>IFERROR(VLOOKUP(S472,AFIP!$F$2:$R$999999,13,FALSE),"NO")</f>
        <v>NO</v>
      </c>
      <c r="W472" s="1" t="str">
        <f t="shared" si="22"/>
        <v>NO</v>
      </c>
    </row>
    <row r="473" spans="1:23" x14ac:dyDescent="0.25">
      <c r="A473" s="1" t="s">
        <v>1104</v>
      </c>
      <c r="B473" s="1" t="s">
        <v>1105</v>
      </c>
      <c r="C473" s="1" t="s">
        <v>19</v>
      </c>
      <c r="D473" s="1">
        <v>30709514144</v>
      </c>
      <c r="E473" s="1" t="s">
        <v>20</v>
      </c>
      <c r="F473" s="1" t="s">
        <v>417</v>
      </c>
      <c r="G473" s="1" t="s">
        <v>53</v>
      </c>
      <c r="H473" s="1" t="s">
        <v>54</v>
      </c>
      <c r="I473" s="1" t="s">
        <v>1174</v>
      </c>
      <c r="J473" s="2">
        <v>27</v>
      </c>
      <c r="K473" s="12">
        <v>23870.42</v>
      </c>
      <c r="L473" s="2">
        <v>18361.86</v>
      </c>
      <c r="M473" s="2">
        <v>0</v>
      </c>
      <c r="N473" s="12">
        <v>4957.7</v>
      </c>
      <c r="O473" s="2">
        <v>550.86</v>
      </c>
      <c r="P473" s="2">
        <v>0</v>
      </c>
      <c r="Q473" s="2">
        <v>0</v>
      </c>
      <c r="R473" s="2">
        <v>0</v>
      </c>
      <c r="S473" s="8" t="str">
        <f t="shared" si="23"/>
        <v>30709514144020001492005</v>
      </c>
      <c r="T473" s="14" t="str">
        <f>IFERROR(VLOOKUP(S473,AFIP!$F$2:$R$999999,12,FALSE),"NO")</f>
        <v>NO</v>
      </c>
      <c r="U473" s="10" t="str">
        <f t="shared" si="21"/>
        <v>NO</v>
      </c>
      <c r="V473" s="10" t="str">
        <f>IFERROR(VLOOKUP(S473,AFIP!$F$2:$R$999999,13,FALSE),"NO")</f>
        <v>NO</v>
      </c>
      <c r="W473" s="1" t="str">
        <f t="shared" si="22"/>
        <v>NO</v>
      </c>
    </row>
    <row r="474" spans="1:23" x14ac:dyDescent="0.25">
      <c r="A474" s="1" t="s">
        <v>1104</v>
      </c>
      <c r="B474" s="1" t="s">
        <v>1105</v>
      </c>
      <c r="C474" s="1" t="s">
        <v>19</v>
      </c>
      <c r="D474" s="1">
        <v>30709514144</v>
      </c>
      <c r="E474" s="1" t="s">
        <v>20</v>
      </c>
      <c r="F474" s="1" t="s">
        <v>417</v>
      </c>
      <c r="G474" s="1" t="s">
        <v>53</v>
      </c>
      <c r="H474" s="1" t="s">
        <v>54</v>
      </c>
      <c r="I474" s="1" t="s">
        <v>1174</v>
      </c>
      <c r="J474" s="2">
        <v>0</v>
      </c>
      <c r="K474" s="12">
        <v>477.41</v>
      </c>
      <c r="L474" s="2">
        <v>0</v>
      </c>
      <c r="M474" s="2">
        <v>477.41</v>
      </c>
      <c r="N474" s="12">
        <v>0</v>
      </c>
      <c r="O474" s="2">
        <v>0</v>
      </c>
      <c r="P474" s="2">
        <v>0</v>
      </c>
      <c r="Q474" s="2">
        <v>0</v>
      </c>
      <c r="R474" s="2">
        <v>0</v>
      </c>
      <c r="S474" s="8" t="str">
        <f t="shared" si="23"/>
        <v>30709514144020001492005</v>
      </c>
      <c r="T474" s="14" t="str">
        <f>IFERROR(VLOOKUP(S474,AFIP!$F$2:$R$999999,12,FALSE),"NO")</f>
        <v>NO</v>
      </c>
      <c r="U474" s="10" t="str">
        <f t="shared" si="21"/>
        <v>NO</v>
      </c>
      <c r="V474" s="10" t="str">
        <f>IFERROR(VLOOKUP(S474,AFIP!$F$2:$R$999999,13,FALSE),"NO")</f>
        <v>NO</v>
      </c>
      <c r="W474" s="1" t="str">
        <f t="shared" si="22"/>
        <v>NO</v>
      </c>
    </row>
    <row r="475" spans="1:23" x14ac:dyDescent="0.25">
      <c r="A475" s="1" t="s">
        <v>1104</v>
      </c>
      <c r="B475" s="1" t="s">
        <v>1105</v>
      </c>
      <c r="C475" s="1" t="s">
        <v>19</v>
      </c>
      <c r="D475" s="1">
        <v>30709514144</v>
      </c>
      <c r="E475" s="1" t="s">
        <v>20</v>
      </c>
      <c r="F475" s="1" t="s">
        <v>417</v>
      </c>
      <c r="G475" s="1" t="s">
        <v>53</v>
      </c>
      <c r="H475" s="1" t="s">
        <v>54</v>
      </c>
      <c r="I475" s="1" t="s">
        <v>1175</v>
      </c>
      <c r="J475" s="2">
        <v>27</v>
      </c>
      <c r="K475" s="12">
        <v>18149.099999999999</v>
      </c>
      <c r="L475" s="2">
        <v>13960.84</v>
      </c>
      <c r="M475" s="2">
        <v>0</v>
      </c>
      <c r="N475" s="12">
        <v>3769.43</v>
      </c>
      <c r="O475" s="2">
        <v>418.83</v>
      </c>
      <c r="P475" s="2">
        <v>0</v>
      </c>
      <c r="Q475" s="2">
        <v>0</v>
      </c>
      <c r="R475" s="2">
        <v>0</v>
      </c>
      <c r="S475" s="8" t="str">
        <f t="shared" si="23"/>
        <v>30709514144020001493360</v>
      </c>
      <c r="T475" s="14" t="str">
        <f>IFERROR(VLOOKUP(S475,AFIP!$F$2:$R$999999,12,FALSE),"NO")</f>
        <v>NO</v>
      </c>
      <c r="U475" s="10" t="str">
        <f t="shared" si="21"/>
        <v>NO</v>
      </c>
      <c r="V475" s="10" t="str">
        <f>IFERROR(VLOOKUP(S475,AFIP!$F$2:$R$999999,13,FALSE),"NO")</f>
        <v>NO</v>
      </c>
      <c r="W475" s="1" t="str">
        <f t="shared" si="22"/>
        <v>NO</v>
      </c>
    </row>
    <row r="476" spans="1:23" x14ac:dyDescent="0.25">
      <c r="A476" s="1" t="s">
        <v>1104</v>
      </c>
      <c r="B476" s="1" t="s">
        <v>1105</v>
      </c>
      <c r="C476" s="1" t="s">
        <v>19</v>
      </c>
      <c r="D476" s="1">
        <v>30709514144</v>
      </c>
      <c r="E476" s="1" t="s">
        <v>20</v>
      </c>
      <c r="F476" s="1" t="s">
        <v>417</v>
      </c>
      <c r="G476" s="1" t="s">
        <v>53</v>
      </c>
      <c r="H476" s="1" t="s">
        <v>54</v>
      </c>
      <c r="I476" s="1" t="s">
        <v>1175</v>
      </c>
      <c r="J476" s="2">
        <v>0</v>
      </c>
      <c r="K476" s="12">
        <v>1759.06</v>
      </c>
      <c r="L476" s="2">
        <v>0</v>
      </c>
      <c r="M476" s="2">
        <v>1759.06</v>
      </c>
      <c r="N476" s="12">
        <v>0</v>
      </c>
      <c r="O476" s="2">
        <v>0</v>
      </c>
      <c r="P476" s="2">
        <v>0</v>
      </c>
      <c r="Q476" s="2">
        <v>0</v>
      </c>
      <c r="R476" s="2">
        <v>0</v>
      </c>
      <c r="S476" s="8" t="str">
        <f t="shared" si="23"/>
        <v>30709514144020001493360</v>
      </c>
      <c r="T476" s="14" t="str">
        <f>IFERROR(VLOOKUP(S476,AFIP!$F$2:$R$999999,12,FALSE),"NO")</f>
        <v>NO</v>
      </c>
      <c r="U476" s="10" t="str">
        <f t="shared" si="21"/>
        <v>NO</v>
      </c>
      <c r="V476" s="10" t="str">
        <f>IFERROR(VLOOKUP(S476,AFIP!$F$2:$R$999999,13,FALSE),"NO")</f>
        <v>NO</v>
      </c>
      <c r="W476" s="1" t="str">
        <f t="shared" si="22"/>
        <v>NO</v>
      </c>
    </row>
    <row r="477" spans="1:23" x14ac:dyDescent="0.25">
      <c r="A477" s="1" t="s">
        <v>1104</v>
      </c>
      <c r="B477" s="1" t="s">
        <v>1105</v>
      </c>
      <c r="C477" s="1" t="s">
        <v>19</v>
      </c>
      <c r="D477" s="1">
        <v>30709514144</v>
      </c>
      <c r="E477" s="1" t="s">
        <v>20</v>
      </c>
      <c r="F477" s="1" t="s">
        <v>417</v>
      </c>
      <c r="G477" s="1" t="s">
        <v>53</v>
      </c>
      <c r="H477" s="1" t="s">
        <v>54</v>
      </c>
      <c r="I477" s="1" t="s">
        <v>1176</v>
      </c>
      <c r="J477" s="2">
        <v>27</v>
      </c>
      <c r="K477" s="12">
        <v>33077.67</v>
      </c>
      <c r="L477" s="2">
        <v>25444.36</v>
      </c>
      <c r="M477" s="2">
        <v>0</v>
      </c>
      <c r="N477" s="12">
        <v>6869.98</v>
      </c>
      <c r="O477" s="2">
        <v>763.33</v>
      </c>
      <c r="P477" s="2">
        <v>0</v>
      </c>
      <c r="Q477" s="2">
        <v>0</v>
      </c>
      <c r="R477" s="2">
        <v>0</v>
      </c>
      <c r="S477" s="8" t="str">
        <f t="shared" si="23"/>
        <v>30709514144020001494820</v>
      </c>
      <c r="T477" s="14" t="str">
        <f>IFERROR(VLOOKUP(S477,AFIP!$F$2:$R$999999,12,FALSE),"NO")</f>
        <v>NO</v>
      </c>
      <c r="U477" s="10" t="str">
        <f t="shared" si="21"/>
        <v>NO</v>
      </c>
      <c r="V477" s="10" t="str">
        <f>IFERROR(VLOOKUP(S477,AFIP!$F$2:$R$999999,13,FALSE),"NO")</f>
        <v>NO</v>
      </c>
      <c r="W477" s="1" t="str">
        <f t="shared" si="22"/>
        <v>NO</v>
      </c>
    </row>
    <row r="478" spans="1:23" x14ac:dyDescent="0.25">
      <c r="A478" s="1" t="s">
        <v>1104</v>
      </c>
      <c r="B478" s="1" t="s">
        <v>1105</v>
      </c>
      <c r="C478" s="1" t="s">
        <v>19</v>
      </c>
      <c r="D478" s="1">
        <v>30709514144</v>
      </c>
      <c r="E478" s="1" t="s">
        <v>20</v>
      </c>
      <c r="F478" s="1" t="s">
        <v>417</v>
      </c>
      <c r="G478" s="1" t="s">
        <v>53</v>
      </c>
      <c r="H478" s="1" t="s">
        <v>54</v>
      </c>
      <c r="I478" s="1" t="s">
        <v>1176</v>
      </c>
      <c r="J478" s="2">
        <v>0</v>
      </c>
      <c r="K478" s="12">
        <v>661.55</v>
      </c>
      <c r="L478" s="2">
        <v>0</v>
      </c>
      <c r="M478" s="2">
        <v>661.55</v>
      </c>
      <c r="N478" s="12">
        <v>0</v>
      </c>
      <c r="O478" s="2">
        <v>0</v>
      </c>
      <c r="P478" s="2">
        <v>0</v>
      </c>
      <c r="Q478" s="2">
        <v>0</v>
      </c>
      <c r="R478" s="2">
        <v>0</v>
      </c>
      <c r="S478" s="8" t="str">
        <f t="shared" si="23"/>
        <v>30709514144020001494820</v>
      </c>
      <c r="T478" s="14" t="str">
        <f>IFERROR(VLOOKUP(S478,AFIP!$F$2:$R$999999,12,FALSE),"NO")</f>
        <v>NO</v>
      </c>
      <c r="U478" s="10" t="str">
        <f t="shared" si="21"/>
        <v>NO</v>
      </c>
      <c r="V478" s="10" t="str">
        <f>IFERROR(VLOOKUP(S478,AFIP!$F$2:$R$999999,13,FALSE),"NO")</f>
        <v>NO</v>
      </c>
      <c r="W478" s="1" t="str">
        <f t="shared" si="22"/>
        <v>NO</v>
      </c>
    </row>
    <row r="479" spans="1:23" hidden="1" x14ac:dyDescent="0.25">
      <c r="A479" s="1" t="s">
        <v>17</v>
      </c>
      <c r="B479" s="1" t="s">
        <v>295</v>
      </c>
      <c r="C479" s="1" t="s">
        <v>19</v>
      </c>
      <c r="D479" s="1">
        <v>30500529454</v>
      </c>
      <c r="E479" s="1" t="s">
        <v>20</v>
      </c>
      <c r="F479" s="1" t="s">
        <v>417</v>
      </c>
      <c r="G479" s="1" t="s">
        <v>53</v>
      </c>
      <c r="H479" s="1" t="s">
        <v>54</v>
      </c>
      <c r="I479" s="1" t="s">
        <v>744</v>
      </c>
      <c r="J479" s="2">
        <v>21</v>
      </c>
      <c r="K479" s="12">
        <v>2694086.86</v>
      </c>
      <c r="L479" s="2">
        <v>2129712.94</v>
      </c>
      <c r="M479" s="2">
        <v>0</v>
      </c>
      <c r="N479" s="12">
        <v>447239.72</v>
      </c>
      <c r="O479" s="2">
        <v>63891.39</v>
      </c>
      <c r="P479" s="2">
        <v>53242.82</v>
      </c>
      <c r="Q479" s="2">
        <v>-0.01</v>
      </c>
      <c r="R479" s="2">
        <v>0</v>
      </c>
      <c r="S479" s="8" t="str">
        <f t="shared" si="23"/>
        <v>30500529454026800040832</v>
      </c>
      <c r="T479" s="14">
        <f>IFERROR(VLOOKUP(S479,AFIP!$F$2:$R$999999,12,FALSE),"NO")</f>
        <v>447239.72</v>
      </c>
      <c r="U479" s="10" t="str">
        <f t="shared" si="21"/>
        <v>SI</v>
      </c>
      <c r="V479" s="10">
        <f>IFERROR(VLOOKUP(S479,AFIP!$F$2:$R$999999,13,FALSE),"NO")</f>
        <v>2694086.86</v>
      </c>
      <c r="W479" s="1" t="str">
        <f t="shared" si="22"/>
        <v>SI</v>
      </c>
    </row>
    <row r="480" spans="1:23" x14ac:dyDescent="0.25">
      <c r="A480" s="1" t="s">
        <v>147</v>
      </c>
      <c r="B480" s="1" t="s">
        <v>745</v>
      </c>
      <c r="C480" s="1" t="s">
        <v>19</v>
      </c>
      <c r="D480" s="1">
        <v>30500010084</v>
      </c>
      <c r="E480" s="1" t="s">
        <v>20</v>
      </c>
      <c r="F480" s="1" t="s">
        <v>417</v>
      </c>
      <c r="G480" s="1" t="s">
        <v>53</v>
      </c>
      <c r="H480" s="1" t="s">
        <v>54</v>
      </c>
      <c r="I480" s="1" t="s">
        <v>746</v>
      </c>
      <c r="J480" s="2">
        <v>10.5</v>
      </c>
      <c r="K480" s="12">
        <v>44937.7</v>
      </c>
      <c r="L480" s="2">
        <v>40667.599999999999</v>
      </c>
      <c r="M480" s="2">
        <v>0</v>
      </c>
      <c r="N480" s="12">
        <v>4270.1000000000004</v>
      </c>
      <c r="O480" s="2">
        <v>0</v>
      </c>
      <c r="P480" s="2">
        <v>0</v>
      </c>
      <c r="Q480" s="2">
        <v>0</v>
      </c>
      <c r="R480" s="2">
        <v>0</v>
      </c>
      <c r="S480" s="8" t="str">
        <f t="shared" si="23"/>
        <v>30500010084036607672007</v>
      </c>
      <c r="T480" s="14" t="str">
        <f>IFERROR(VLOOKUP(S480,AFIP!$F$2:$R$999999,12,FALSE),"NO")</f>
        <v>NO</v>
      </c>
      <c r="U480" s="10" t="str">
        <f t="shared" si="21"/>
        <v>NO</v>
      </c>
      <c r="V480" s="10" t="str">
        <f>IFERROR(VLOOKUP(S480,AFIP!$F$2:$R$999999,13,FALSE),"NO")</f>
        <v>NO</v>
      </c>
      <c r="W480" s="1" t="str">
        <f t="shared" si="22"/>
        <v>NO</v>
      </c>
    </row>
    <row r="481" spans="1:23" x14ac:dyDescent="0.25">
      <c r="A481" s="1" t="s">
        <v>147</v>
      </c>
      <c r="B481" s="1" t="s">
        <v>745</v>
      </c>
      <c r="C481" s="1" t="s">
        <v>19</v>
      </c>
      <c r="D481" s="1">
        <v>30500010084</v>
      </c>
      <c r="E481" s="1" t="s">
        <v>20</v>
      </c>
      <c r="F481" s="1" t="s">
        <v>417</v>
      </c>
      <c r="G481" s="1" t="s">
        <v>53</v>
      </c>
      <c r="H481" s="1" t="s">
        <v>54</v>
      </c>
      <c r="I481" s="1" t="s">
        <v>746</v>
      </c>
      <c r="J481" s="2">
        <v>0</v>
      </c>
      <c r="K481" s="12">
        <v>4145.29</v>
      </c>
      <c r="L481" s="2">
        <v>0</v>
      </c>
      <c r="M481" s="2">
        <v>4145.29</v>
      </c>
      <c r="N481" s="12">
        <v>0</v>
      </c>
      <c r="O481" s="2">
        <v>0</v>
      </c>
      <c r="P481" s="2">
        <v>0</v>
      </c>
      <c r="Q481" s="2">
        <v>0</v>
      </c>
      <c r="R481" s="2">
        <v>0</v>
      </c>
      <c r="S481" s="8" t="str">
        <f t="shared" si="23"/>
        <v>30500010084036607672007</v>
      </c>
      <c r="T481" s="14" t="str">
        <f>IFERROR(VLOOKUP(S481,AFIP!$F$2:$R$999999,12,FALSE),"NO")</f>
        <v>NO</v>
      </c>
      <c r="U481" s="10" t="str">
        <f t="shared" si="21"/>
        <v>NO</v>
      </c>
      <c r="V481" s="10" t="str">
        <f>IFERROR(VLOOKUP(S481,AFIP!$F$2:$R$999999,13,FALSE),"NO")</f>
        <v>NO</v>
      </c>
      <c r="W481" s="1" t="str">
        <f t="shared" si="22"/>
        <v>NO</v>
      </c>
    </row>
    <row r="482" spans="1:23" x14ac:dyDescent="0.25">
      <c r="A482" s="1" t="s">
        <v>147</v>
      </c>
      <c r="B482" s="1" t="s">
        <v>745</v>
      </c>
      <c r="C482" s="1" t="s">
        <v>19</v>
      </c>
      <c r="D482" s="1">
        <v>30500010084</v>
      </c>
      <c r="E482" s="1" t="s">
        <v>20</v>
      </c>
      <c r="F482" s="1" t="s">
        <v>417</v>
      </c>
      <c r="G482" s="1" t="s">
        <v>53</v>
      </c>
      <c r="H482" s="1" t="s">
        <v>54</v>
      </c>
      <c r="I482" s="1" t="s">
        <v>747</v>
      </c>
      <c r="J482" s="2">
        <v>10.5</v>
      </c>
      <c r="K482" s="12">
        <v>260128.41</v>
      </c>
      <c r="L482" s="2">
        <v>235410.33</v>
      </c>
      <c r="M482" s="2">
        <v>0</v>
      </c>
      <c r="N482" s="12">
        <v>24718.080000000002</v>
      </c>
      <c r="O482" s="2">
        <v>0</v>
      </c>
      <c r="P482" s="2">
        <v>0</v>
      </c>
      <c r="Q482" s="2">
        <v>0</v>
      </c>
      <c r="R482" s="2">
        <v>0</v>
      </c>
      <c r="S482" s="8" t="str">
        <f t="shared" si="23"/>
        <v>30500010084036607672008</v>
      </c>
      <c r="T482" s="14" t="str">
        <f>IFERROR(VLOOKUP(S482,AFIP!$F$2:$R$999999,12,FALSE),"NO")</f>
        <v>NO</v>
      </c>
      <c r="U482" s="10" t="str">
        <f t="shared" si="21"/>
        <v>NO</v>
      </c>
      <c r="V482" s="10" t="str">
        <f>IFERROR(VLOOKUP(S482,AFIP!$F$2:$R$999999,13,FALSE),"NO")</f>
        <v>NO</v>
      </c>
      <c r="W482" s="1" t="str">
        <f t="shared" si="22"/>
        <v>NO</v>
      </c>
    </row>
    <row r="483" spans="1:23" x14ac:dyDescent="0.25">
      <c r="A483" s="1" t="s">
        <v>147</v>
      </c>
      <c r="B483" s="1" t="s">
        <v>745</v>
      </c>
      <c r="C483" s="1" t="s">
        <v>19</v>
      </c>
      <c r="D483" s="1">
        <v>30500010084</v>
      </c>
      <c r="E483" s="1" t="s">
        <v>20</v>
      </c>
      <c r="F483" s="1" t="s">
        <v>417</v>
      </c>
      <c r="G483" s="1" t="s">
        <v>53</v>
      </c>
      <c r="H483" s="1" t="s">
        <v>54</v>
      </c>
      <c r="I483" s="1" t="s">
        <v>747</v>
      </c>
      <c r="J483" s="2">
        <v>0</v>
      </c>
      <c r="K483" s="12">
        <v>25581.15</v>
      </c>
      <c r="L483" s="2">
        <v>0</v>
      </c>
      <c r="M483" s="2">
        <v>25581.15</v>
      </c>
      <c r="N483" s="12">
        <v>0</v>
      </c>
      <c r="O483" s="2">
        <v>0</v>
      </c>
      <c r="P483" s="2">
        <v>0</v>
      </c>
      <c r="Q483" s="2">
        <v>0</v>
      </c>
      <c r="R483" s="2">
        <v>0</v>
      </c>
      <c r="S483" s="8" t="str">
        <f t="shared" si="23"/>
        <v>30500010084036607672008</v>
      </c>
      <c r="T483" s="14" t="str">
        <f>IFERROR(VLOOKUP(S483,AFIP!$F$2:$R$999999,12,FALSE),"NO")</f>
        <v>NO</v>
      </c>
      <c r="U483" s="10" t="str">
        <f t="shared" si="21"/>
        <v>NO</v>
      </c>
      <c r="V483" s="10" t="str">
        <f>IFERROR(VLOOKUP(S483,AFIP!$F$2:$R$999999,13,FALSE),"NO")</f>
        <v>NO</v>
      </c>
      <c r="W483" s="1" t="str">
        <f t="shared" si="22"/>
        <v>NO</v>
      </c>
    </row>
    <row r="484" spans="1:23" hidden="1" x14ac:dyDescent="0.25">
      <c r="A484" s="1" t="s">
        <v>473</v>
      </c>
      <c r="B484" s="1" t="s">
        <v>474</v>
      </c>
      <c r="C484" s="1" t="s">
        <v>19</v>
      </c>
      <c r="D484" s="1">
        <v>20314191294</v>
      </c>
      <c r="E484" s="1" t="s">
        <v>63</v>
      </c>
      <c r="F484" s="1" t="s">
        <v>417</v>
      </c>
      <c r="G484" s="1" t="s">
        <v>53</v>
      </c>
      <c r="H484" s="1" t="s">
        <v>59</v>
      </c>
      <c r="I484" s="1" t="s">
        <v>748</v>
      </c>
      <c r="J484" s="2">
        <v>0</v>
      </c>
      <c r="K484" s="12">
        <v>15000</v>
      </c>
      <c r="L484" s="2">
        <v>0</v>
      </c>
      <c r="M484" s="2">
        <v>15000</v>
      </c>
      <c r="N484" s="12">
        <v>0</v>
      </c>
      <c r="O484" s="2">
        <v>0</v>
      </c>
      <c r="P484" s="2">
        <v>0</v>
      </c>
      <c r="Q484" s="2">
        <v>0</v>
      </c>
      <c r="R484" s="2">
        <v>0</v>
      </c>
      <c r="S484" s="8" t="str">
        <f t="shared" si="23"/>
        <v>20314191294000300000925</v>
      </c>
      <c r="T484" s="14">
        <f>IFERROR(VLOOKUP(S484,AFIP!$F$2:$R$999999,12,FALSE),"NO")</f>
        <v>0</v>
      </c>
      <c r="U484" s="10" t="str">
        <f t="shared" si="21"/>
        <v>SI</v>
      </c>
      <c r="V484" s="10">
        <f>IFERROR(VLOOKUP(S484,AFIP!$F$2:$R$999999,13,FALSE),"NO")</f>
        <v>15000</v>
      </c>
      <c r="W484" s="1" t="str">
        <f t="shared" si="22"/>
        <v>SI</v>
      </c>
    </row>
    <row r="485" spans="1:23" hidden="1" x14ac:dyDescent="0.25">
      <c r="A485" s="1" t="s">
        <v>56</v>
      </c>
      <c r="B485" s="1" t="s">
        <v>57</v>
      </c>
      <c r="C485" s="1" t="s">
        <v>19</v>
      </c>
      <c r="D485" s="1">
        <v>30610232201</v>
      </c>
      <c r="E485" s="1" t="s">
        <v>58</v>
      </c>
      <c r="F485" s="1" t="s">
        <v>417</v>
      </c>
      <c r="G485" s="1" t="s">
        <v>53</v>
      </c>
      <c r="H485" s="1" t="s">
        <v>59</v>
      </c>
      <c r="I485" s="1" t="s">
        <v>1177</v>
      </c>
      <c r="J485" s="2">
        <v>0</v>
      </c>
      <c r="K485" s="12">
        <v>45000</v>
      </c>
      <c r="L485" s="2">
        <v>0</v>
      </c>
      <c r="M485" s="2">
        <v>45000</v>
      </c>
      <c r="N485" s="12">
        <v>0</v>
      </c>
      <c r="O485" s="2">
        <v>0</v>
      </c>
      <c r="P485" s="2">
        <v>0</v>
      </c>
      <c r="Q485" s="2">
        <v>0</v>
      </c>
      <c r="R485" s="2">
        <v>0</v>
      </c>
      <c r="S485" s="8" t="str">
        <f t="shared" si="23"/>
        <v>30610232201000300004205</v>
      </c>
      <c r="T485" s="14">
        <f>IFERROR(VLOOKUP(S485,AFIP!$F$2:$R$999999,12,FALSE),"NO")</f>
        <v>0</v>
      </c>
      <c r="U485" s="10" t="str">
        <f t="shared" si="21"/>
        <v>SI</v>
      </c>
      <c r="V485" s="10">
        <f>IFERROR(VLOOKUP(S485,AFIP!$F$2:$R$999999,13,FALSE),"NO")</f>
        <v>45000</v>
      </c>
      <c r="W485" s="1" t="str">
        <f t="shared" si="22"/>
        <v>SI</v>
      </c>
    </row>
    <row r="486" spans="1:23" hidden="1" x14ac:dyDescent="0.25">
      <c r="A486" s="1" t="s">
        <v>276</v>
      </c>
      <c r="B486" s="1" t="s">
        <v>277</v>
      </c>
      <c r="C486" s="1" t="s">
        <v>19</v>
      </c>
      <c r="D486" s="1">
        <v>20313376045</v>
      </c>
      <c r="E486" s="1" t="s">
        <v>20</v>
      </c>
      <c r="F486" s="1" t="s">
        <v>749</v>
      </c>
      <c r="G486" s="1" t="s">
        <v>53</v>
      </c>
      <c r="H486" s="1" t="s">
        <v>54</v>
      </c>
      <c r="I486" s="1" t="s">
        <v>750</v>
      </c>
      <c r="J486" s="2">
        <v>21</v>
      </c>
      <c r="K486" s="12">
        <v>350900</v>
      </c>
      <c r="L486" s="2">
        <v>290000</v>
      </c>
      <c r="M486" s="2">
        <v>0</v>
      </c>
      <c r="N486" s="12">
        <v>60900</v>
      </c>
      <c r="O486" s="2">
        <v>0</v>
      </c>
      <c r="P486" s="2">
        <v>0</v>
      </c>
      <c r="Q486" s="2">
        <v>0</v>
      </c>
      <c r="R486" s="2">
        <v>0</v>
      </c>
      <c r="S486" s="8" t="str">
        <f t="shared" si="23"/>
        <v>20313376045000200000380</v>
      </c>
      <c r="T486" s="14">
        <f>IFERROR(VLOOKUP(S486,AFIP!$F$2:$R$999999,12,FALSE),"NO")</f>
        <v>60900</v>
      </c>
      <c r="U486" s="10" t="str">
        <f t="shared" si="21"/>
        <v>SI</v>
      </c>
      <c r="V486" s="10">
        <f>IFERROR(VLOOKUP(S486,AFIP!$F$2:$R$999999,13,FALSE),"NO")</f>
        <v>350900</v>
      </c>
      <c r="W486" s="1" t="str">
        <f t="shared" si="22"/>
        <v>SI</v>
      </c>
    </row>
    <row r="487" spans="1:23" hidden="1" x14ac:dyDescent="0.25">
      <c r="A487" s="1" t="s">
        <v>131</v>
      </c>
      <c r="B487" s="1" t="s">
        <v>132</v>
      </c>
      <c r="C487" s="1" t="s">
        <v>19</v>
      </c>
      <c r="D487" s="1">
        <v>30708506237</v>
      </c>
      <c r="E487" s="1" t="s">
        <v>20</v>
      </c>
      <c r="F487" s="1" t="s">
        <v>749</v>
      </c>
      <c r="G487" s="1" t="s">
        <v>53</v>
      </c>
      <c r="H487" s="1" t="s">
        <v>54</v>
      </c>
      <c r="I487" s="1" t="s">
        <v>751</v>
      </c>
      <c r="J487" s="2">
        <v>21</v>
      </c>
      <c r="K487" s="12">
        <v>55327.58</v>
      </c>
      <c r="L487" s="2">
        <v>45725.27</v>
      </c>
      <c r="M487" s="2">
        <v>0</v>
      </c>
      <c r="N487" s="12">
        <v>9602.32</v>
      </c>
      <c r="O487" s="1">
        <v>0</v>
      </c>
      <c r="P487" s="1">
        <v>0</v>
      </c>
      <c r="Q487" s="1">
        <v>-0.01</v>
      </c>
      <c r="R487" s="1">
        <v>0</v>
      </c>
      <c r="S487" s="8" t="str">
        <f t="shared" si="23"/>
        <v>30708506237000200066344</v>
      </c>
      <c r="T487" s="14">
        <f>IFERROR(VLOOKUP(S487,AFIP!$F$2:$R$999999,12,FALSE),"NO")</f>
        <v>9602.31</v>
      </c>
      <c r="U487" s="10" t="str">
        <f t="shared" si="21"/>
        <v>NO</v>
      </c>
      <c r="V487" s="10">
        <f>IFERROR(VLOOKUP(S487,AFIP!$F$2:$R$999999,13,FALSE),"NO")</f>
        <v>55327.58</v>
      </c>
      <c r="W487" s="1" t="str">
        <f t="shared" si="22"/>
        <v>SI</v>
      </c>
    </row>
    <row r="488" spans="1:23" hidden="1" x14ac:dyDescent="0.25">
      <c r="A488" s="1" t="s">
        <v>752</v>
      </c>
      <c r="B488" s="1" t="s">
        <v>753</v>
      </c>
      <c r="C488" s="1" t="s">
        <v>19</v>
      </c>
      <c r="D488" s="1">
        <v>20362739307</v>
      </c>
      <c r="E488" s="1" t="s">
        <v>20</v>
      </c>
      <c r="F488" s="1" t="s">
        <v>749</v>
      </c>
      <c r="G488" s="1" t="s">
        <v>53</v>
      </c>
      <c r="H488" s="1" t="s">
        <v>54</v>
      </c>
      <c r="I488" s="1" t="s">
        <v>754</v>
      </c>
      <c r="J488" s="2">
        <v>21</v>
      </c>
      <c r="K488" s="12">
        <v>816750</v>
      </c>
      <c r="L488" s="2">
        <v>675000</v>
      </c>
      <c r="M488" s="2">
        <v>0</v>
      </c>
      <c r="N488" s="12">
        <v>141750</v>
      </c>
      <c r="O488" s="1">
        <v>0</v>
      </c>
      <c r="P488" s="1">
        <v>0</v>
      </c>
      <c r="Q488" s="1">
        <v>0</v>
      </c>
      <c r="R488" s="1">
        <v>0</v>
      </c>
      <c r="S488" s="8" t="str">
        <f t="shared" si="23"/>
        <v>20362739307000300000202</v>
      </c>
      <c r="T488" s="14">
        <f>IFERROR(VLOOKUP(S488,AFIP!$F$2:$R$999999,12,FALSE),"NO")</f>
        <v>141750</v>
      </c>
      <c r="U488" s="10" t="str">
        <f t="shared" si="21"/>
        <v>SI</v>
      </c>
      <c r="V488" s="10">
        <f>IFERROR(VLOOKUP(S488,AFIP!$F$2:$R$999999,13,FALSE),"NO")</f>
        <v>816750</v>
      </c>
      <c r="W488" s="1" t="str">
        <f t="shared" si="22"/>
        <v>SI</v>
      </c>
    </row>
    <row r="489" spans="1:23" x14ac:dyDescent="0.25">
      <c r="A489" s="1" t="s">
        <v>755</v>
      </c>
      <c r="B489" s="1" t="s">
        <v>756</v>
      </c>
      <c r="C489" s="1" t="s">
        <v>19</v>
      </c>
      <c r="D489" s="1">
        <v>20062619598</v>
      </c>
      <c r="E489" s="1" t="s">
        <v>20</v>
      </c>
      <c r="F489" s="1" t="s">
        <v>749</v>
      </c>
      <c r="G489" s="1" t="s">
        <v>53</v>
      </c>
      <c r="H489" s="1" t="s">
        <v>54</v>
      </c>
      <c r="I489" s="1" t="s">
        <v>757</v>
      </c>
      <c r="J489" s="1">
        <v>21</v>
      </c>
      <c r="K489" s="12">
        <v>6001.21</v>
      </c>
      <c r="L489" s="1">
        <v>4959.68</v>
      </c>
      <c r="M489" s="1">
        <v>0</v>
      </c>
      <c r="N489" s="12">
        <v>1041.53</v>
      </c>
      <c r="O489" s="1">
        <v>0</v>
      </c>
      <c r="P489" s="1">
        <v>0</v>
      </c>
      <c r="Q489" s="1">
        <v>0</v>
      </c>
      <c r="R489" s="1">
        <v>0</v>
      </c>
      <c r="S489" s="8" t="str">
        <f t="shared" si="23"/>
        <v>20062619598000500005247</v>
      </c>
      <c r="T489" s="14" t="str">
        <f>IFERROR(VLOOKUP(S489,AFIP!$F$2:$R$999999,12,FALSE),"NO")</f>
        <v>NO</v>
      </c>
      <c r="U489" s="10" t="str">
        <f t="shared" si="21"/>
        <v>NO</v>
      </c>
      <c r="V489" s="10" t="str">
        <f>IFERROR(VLOOKUP(S489,AFIP!$F$2:$R$999999,13,FALSE),"NO")</f>
        <v>NO</v>
      </c>
      <c r="W489" s="1" t="str">
        <f t="shared" si="22"/>
        <v>NO</v>
      </c>
    </row>
    <row r="490" spans="1:23" x14ac:dyDescent="0.25">
      <c r="A490" s="1" t="s">
        <v>97</v>
      </c>
      <c r="B490" s="1" t="s">
        <v>98</v>
      </c>
      <c r="C490" s="1" t="s">
        <v>19</v>
      </c>
      <c r="D490" s="1">
        <v>30545788167</v>
      </c>
      <c r="E490" s="1" t="s">
        <v>20</v>
      </c>
      <c r="F490" s="1" t="s">
        <v>749</v>
      </c>
      <c r="G490" s="1" t="s">
        <v>53</v>
      </c>
      <c r="H490" s="1" t="s">
        <v>54</v>
      </c>
      <c r="I490" s="1" t="s">
        <v>1178</v>
      </c>
      <c r="J490" s="2">
        <v>27</v>
      </c>
      <c r="K490" s="12">
        <v>247553.54</v>
      </c>
      <c r="L490" s="2">
        <v>190425.8</v>
      </c>
      <c r="M490" s="2">
        <v>0</v>
      </c>
      <c r="N490" s="12">
        <v>51414.97</v>
      </c>
      <c r="O490" s="1">
        <v>5712.77</v>
      </c>
      <c r="P490" s="1">
        <v>0</v>
      </c>
      <c r="Q490" s="1">
        <v>0</v>
      </c>
      <c r="R490" s="1">
        <v>0</v>
      </c>
      <c r="S490" s="8" t="str">
        <f t="shared" si="23"/>
        <v>30545788167000505248546</v>
      </c>
      <c r="T490" s="14" t="str">
        <f>IFERROR(VLOOKUP(S490,AFIP!$F$2:$R$999999,12,FALSE),"NO")</f>
        <v>NO</v>
      </c>
      <c r="U490" s="10" t="str">
        <f t="shared" si="21"/>
        <v>NO</v>
      </c>
      <c r="V490" s="10" t="str">
        <f>IFERROR(VLOOKUP(S490,AFIP!$F$2:$R$999999,13,FALSE),"NO")</f>
        <v>NO</v>
      </c>
      <c r="W490" s="1" t="str">
        <f t="shared" si="22"/>
        <v>NO</v>
      </c>
    </row>
    <row r="491" spans="1:23" x14ac:dyDescent="0.25">
      <c r="A491" s="1" t="s">
        <v>97</v>
      </c>
      <c r="B491" s="1" t="s">
        <v>98</v>
      </c>
      <c r="C491" s="1" t="s">
        <v>19</v>
      </c>
      <c r="D491" s="1">
        <v>30545788167</v>
      </c>
      <c r="E491" s="1" t="s">
        <v>20</v>
      </c>
      <c r="F491" s="1" t="s">
        <v>749</v>
      </c>
      <c r="G491" s="1" t="s">
        <v>53</v>
      </c>
      <c r="H491" s="1" t="s">
        <v>54</v>
      </c>
      <c r="I491" s="1" t="s">
        <v>1178</v>
      </c>
      <c r="J491" s="2">
        <v>0</v>
      </c>
      <c r="K491" s="12">
        <v>12979.33</v>
      </c>
      <c r="L491" s="2">
        <v>0</v>
      </c>
      <c r="M491" s="2">
        <v>12979.33</v>
      </c>
      <c r="N491" s="12">
        <v>0</v>
      </c>
      <c r="O491" s="1">
        <v>0</v>
      </c>
      <c r="P491" s="1">
        <v>0</v>
      </c>
      <c r="Q491" s="1">
        <v>0</v>
      </c>
      <c r="R491" s="1">
        <v>0</v>
      </c>
      <c r="S491" s="8" t="str">
        <f t="shared" si="23"/>
        <v>30545788167000505248546</v>
      </c>
      <c r="T491" s="14" t="str">
        <f>IFERROR(VLOOKUP(S491,AFIP!$F$2:$R$999999,12,FALSE),"NO")</f>
        <v>NO</v>
      </c>
      <c r="U491" s="10" t="str">
        <f t="shared" si="21"/>
        <v>NO</v>
      </c>
      <c r="V491" s="10" t="str">
        <f>IFERROR(VLOOKUP(S491,AFIP!$F$2:$R$999999,13,FALSE),"NO")</f>
        <v>NO</v>
      </c>
      <c r="W491" s="1" t="str">
        <f t="shared" si="22"/>
        <v>NO</v>
      </c>
    </row>
    <row r="492" spans="1:23" hidden="1" x14ac:dyDescent="0.25">
      <c r="A492" s="1" t="s">
        <v>43</v>
      </c>
      <c r="B492" s="1" t="s">
        <v>44</v>
      </c>
      <c r="C492" s="1" t="s">
        <v>19</v>
      </c>
      <c r="D492" s="1">
        <v>30502036269</v>
      </c>
      <c r="E492" s="1" t="s">
        <v>20</v>
      </c>
      <c r="F492" s="1" t="s">
        <v>749</v>
      </c>
      <c r="G492" s="1" t="s">
        <v>53</v>
      </c>
      <c r="H492" s="1" t="s">
        <v>54</v>
      </c>
      <c r="I492" s="1" t="s">
        <v>758</v>
      </c>
      <c r="J492" s="2">
        <v>21</v>
      </c>
      <c r="K492" s="12">
        <v>933277.87</v>
      </c>
      <c r="L492" s="2">
        <v>771304.02</v>
      </c>
      <c r="M492" s="2">
        <v>0</v>
      </c>
      <c r="N492" s="12">
        <v>161973.84</v>
      </c>
      <c r="O492" s="1">
        <v>0</v>
      </c>
      <c r="P492" s="1">
        <v>0</v>
      </c>
      <c r="Q492" s="1">
        <v>0.01</v>
      </c>
      <c r="R492" s="1">
        <v>0</v>
      </c>
      <c r="S492" s="8" t="str">
        <f t="shared" si="23"/>
        <v>30502036269001000012315</v>
      </c>
      <c r="T492" s="14">
        <f>IFERROR(VLOOKUP(S492,AFIP!$F$2:$R$999999,12,FALSE),"NO")</f>
        <v>161973.85</v>
      </c>
      <c r="U492" s="10" t="str">
        <f t="shared" si="21"/>
        <v>NO</v>
      </c>
      <c r="V492" s="10">
        <f>IFERROR(VLOOKUP(S492,AFIP!$F$2:$R$999999,13,FALSE),"NO")</f>
        <v>933277.87</v>
      </c>
      <c r="W492" s="1" t="str">
        <f t="shared" si="22"/>
        <v>SI</v>
      </c>
    </row>
    <row r="493" spans="1:23" hidden="1" x14ac:dyDescent="0.25">
      <c r="A493" s="1" t="s">
        <v>43</v>
      </c>
      <c r="B493" s="1" t="s">
        <v>44</v>
      </c>
      <c r="C493" s="1" t="s">
        <v>19</v>
      </c>
      <c r="D493" s="1">
        <v>30502036269</v>
      </c>
      <c r="E493" s="1" t="s">
        <v>20</v>
      </c>
      <c r="F493" s="1" t="s">
        <v>749</v>
      </c>
      <c r="G493" s="1" t="s">
        <v>53</v>
      </c>
      <c r="H493" s="1" t="s">
        <v>54</v>
      </c>
      <c r="I493" s="1" t="s">
        <v>759</v>
      </c>
      <c r="J493" s="1">
        <v>21</v>
      </c>
      <c r="K493" s="12">
        <v>1591732.87</v>
      </c>
      <c r="L493" s="1">
        <v>1315481.71</v>
      </c>
      <c r="M493" s="1">
        <v>0</v>
      </c>
      <c r="N493" s="12">
        <v>276251.15999999997</v>
      </c>
      <c r="O493" s="1">
        <v>0</v>
      </c>
      <c r="P493" s="1">
        <v>0</v>
      </c>
      <c r="Q493" s="1">
        <v>0</v>
      </c>
      <c r="R493" s="1">
        <v>0</v>
      </c>
      <c r="S493" s="8" t="str">
        <f t="shared" si="23"/>
        <v>30502036269001000012316</v>
      </c>
      <c r="T493" s="14">
        <f>IFERROR(VLOOKUP(S493,AFIP!$F$2:$R$999999,12,FALSE),"NO")</f>
        <v>276251.15999999997</v>
      </c>
      <c r="U493" s="10" t="str">
        <f t="shared" si="21"/>
        <v>SI</v>
      </c>
      <c r="V493" s="10">
        <f>IFERROR(VLOOKUP(S493,AFIP!$F$2:$R$999999,13,FALSE),"NO")</f>
        <v>1591732.87</v>
      </c>
      <c r="W493" s="1" t="str">
        <f t="shared" si="22"/>
        <v>SI</v>
      </c>
    </row>
    <row r="494" spans="1:23" hidden="1" x14ac:dyDescent="0.25">
      <c r="A494" s="1" t="s">
        <v>760</v>
      </c>
      <c r="B494" s="1" t="s">
        <v>761</v>
      </c>
      <c r="C494" s="1" t="s">
        <v>19</v>
      </c>
      <c r="D494" s="1">
        <v>30711664102</v>
      </c>
      <c r="E494" s="1" t="s">
        <v>20</v>
      </c>
      <c r="F494" s="1" t="s">
        <v>749</v>
      </c>
      <c r="G494" s="1" t="s">
        <v>53</v>
      </c>
      <c r="H494" s="1" t="s">
        <v>54</v>
      </c>
      <c r="I494" s="1" t="s">
        <v>762</v>
      </c>
      <c r="J494" s="2">
        <v>21</v>
      </c>
      <c r="K494" s="12">
        <v>46935</v>
      </c>
      <c r="L494" s="2">
        <v>38789.26</v>
      </c>
      <c r="M494" s="2">
        <v>0</v>
      </c>
      <c r="N494" s="12">
        <v>8145.74</v>
      </c>
      <c r="O494" s="1">
        <v>0</v>
      </c>
      <c r="P494" s="1">
        <v>0</v>
      </c>
      <c r="Q494" s="1">
        <v>0</v>
      </c>
      <c r="R494" s="1">
        <v>0</v>
      </c>
      <c r="S494" s="8" t="str">
        <f t="shared" si="23"/>
        <v>30711664102001300002682</v>
      </c>
      <c r="T494" s="14">
        <f>IFERROR(VLOOKUP(S494,AFIP!$F$2:$R$999999,12,FALSE),"NO")</f>
        <v>8145.74</v>
      </c>
      <c r="U494" s="10" t="str">
        <f t="shared" si="21"/>
        <v>SI</v>
      </c>
      <c r="V494" s="10">
        <f>IFERROR(VLOOKUP(S494,AFIP!$F$2:$R$999999,13,FALSE),"NO")</f>
        <v>46935</v>
      </c>
      <c r="W494" s="1" t="str">
        <f t="shared" si="22"/>
        <v>SI</v>
      </c>
    </row>
    <row r="495" spans="1:23" hidden="1" x14ac:dyDescent="0.25">
      <c r="A495" s="1" t="s">
        <v>35</v>
      </c>
      <c r="B495" s="1" t="s">
        <v>36</v>
      </c>
      <c r="C495" s="1" t="s">
        <v>19</v>
      </c>
      <c r="D495" s="1">
        <v>33522734549</v>
      </c>
      <c r="E495" s="1" t="s">
        <v>20</v>
      </c>
      <c r="F495" s="1" t="s">
        <v>749</v>
      </c>
      <c r="G495" s="1" t="s">
        <v>53</v>
      </c>
      <c r="H495" s="1" t="s">
        <v>54</v>
      </c>
      <c r="I495" s="1" t="s">
        <v>763</v>
      </c>
      <c r="J495" s="2">
        <v>21</v>
      </c>
      <c r="K495" s="12">
        <v>1795222.09</v>
      </c>
      <c r="L495" s="2">
        <v>1419147.9</v>
      </c>
      <c r="M495" s="2">
        <v>0</v>
      </c>
      <c r="N495" s="12">
        <v>298021.05</v>
      </c>
      <c r="O495" s="1">
        <v>42574.44</v>
      </c>
      <c r="P495" s="1">
        <v>35478.699999999997</v>
      </c>
      <c r="Q495" s="1">
        <v>0</v>
      </c>
      <c r="R495" s="1">
        <v>0</v>
      </c>
      <c r="S495" s="8" t="str">
        <f t="shared" si="23"/>
        <v>33522734549002100302320</v>
      </c>
      <c r="T495" s="14">
        <f>IFERROR(VLOOKUP(S495,AFIP!$F$2:$R$999999,12,FALSE),"NO")</f>
        <v>298021.05</v>
      </c>
      <c r="U495" s="10" t="str">
        <f t="shared" si="21"/>
        <v>SI</v>
      </c>
      <c r="V495" s="10">
        <f>IFERROR(VLOOKUP(S495,AFIP!$F$2:$R$999999,13,FALSE),"NO")</f>
        <v>1795222.07</v>
      </c>
      <c r="W495" s="1" t="str">
        <f t="shared" si="22"/>
        <v>NO</v>
      </c>
    </row>
    <row r="496" spans="1:23" x14ac:dyDescent="0.25">
      <c r="A496" s="1" t="s">
        <v>1113</v>
      </c>
      <c r="B496" s="1" t="s">
        <v>1114</v>
      </c>
      <c r="C496" s="1" t="s">
        <v>19</v>
      </c>
      <c r="D496" s="1">
        <v>30634539154</v>
      </c>
      <c r="E496" s="1" t="s">
        <v>20</v>
      </c>
      <c r="F496" s="1" t="s">
        <v>749</v>
      </c>
      <c r="G496" s="1" t="s">
        <v>53</v>
      </c>
      <c r="H496" s="1" t="s">
        <v>54</v>
      </c>
      <c r="I496" s="1" t="s">
        <v>1179</v>
      </c>
      <c r="J496" s="2">
        <v>21</v>
      </c>
      <c r="K496" s="12">
        <v>8100.01</v>
      </c>
      <c r="L496" s="2">
        <v>6694.22</v>
      </c>
      <c r="M496" s="2">
        <v>0</v>
      </c>
      <c r="N496" s="12">
        <v>1405.79</v>
      </c>
      <c r="O496" s="1">
        <v>0</v>
      </c>
      <c r="P496" s="1">
        <v>0</v>
      </c>
      <c r="Q496" s="1">
        <v>0</v>
      </c>
      <c r="R496" s="1">
        <v>0</v>
      </c>
      <c r="S496" s="8" t="str">
        <f t="shared" si="23"/>
        <v>30634539154003100003735</v>
      </c>
      <c r="T496" s="14" t="str">
        <f>IFERROR(VLOOKUP(S496,AFIP!$F$2:$R$999999,12,FALSE),"NO")</f>
        <v>NO</v>
      </c>
      <c r="U496" s="10" t="str">
        <f t="shared" si="21"/>
        <v>NO</v>
      </c>
      <c r="V496" s="10" t="str">
        <f>IFERROR(VLOOKUP(S496,AFIP!$F$2:$R$999999,13,FALSE),"NO")</f>
        <v>NO</v>
      </c>
      <c r="W496" s="1" t="str">
        <f t="shared" si="22"/>
        <v>NO</v>
      </c>
    </row>
    <row r="497" spans="1:23" x14ac:dyDescent="0.25">
      <c r="A497" s="1" t="s">
        <v>1113</v>
      </c>
      <c r="B497" s="1" t="s">
        <v>1114</v>
      </c>
      <c r="C497" s="1" t="s">
        <v>19</v>
      </c>
      <c r="D497" s="1">
        <v>30634539154</v>
      </c>
      <c r="E497" s="1" t="s">
        <v>20</v>
      </c>
      <c r="F497" s="1" t="s">
        <v>749</v>
      </c>
      <c r="G497" s="1" t="s">
        <v>53</v>
      </c>
      <c r="H497" s="1" t="s">
        <v>54</v>
      </c>
      <c r="I497" s="1" t="s">
        <v>1179</v>
      </c>
      <c r="J497" s="1">
        <v>0</v>
      </c>
      <c r="K497" s="12">
        <v>0.24</v>
      </c>
      <c r="L497" s="1">
        <v>0</v>
      </c>
      <c r="M497" s="1">
        <v>0.24</v>
      </c>
      <c r="N497" s="12">
        <v>0</v>
      </c>
      <c r="O497" s="1">
        <v>0</v>
      </c>
      <c r="P497" s="1">
        <v>0</v>
      </c>
      <c r="Q497" s="1">
        <v>0</v>
      </c>
      <c r="R497" s="1">
        <v>0</v>
      </c>
      <c r="S497" s="8" t="str">
        <f t="shared" si="23"/>
        <v>30634539154003100003735</v>
      </c>
      <c r="T497" s="14" t="str">
        <f>IFERROR(VLOOKUP(S497,AFIP!$F$2:$R$999999,12,FALSE),"NO")</f>
        <v>NO</v>
      </c>
      <c r="U497" s="10" t="str">
        <f t="shared" si="21"/>
        <v>NO</v>
      </c>
      <c r="V497" s="10" t="str">
        <f>IFERROR(VLOOKUP(S497,AFIP!$F$2:$R$999999,13,FALSE),"NO")</f>
        <v>NO</v>
      </c>
      <c r="W497" s="1" t="str">
        <f t="shared" si="22"/>
        <v>NO</v>
      </c>
    </row>
    <row r="498" spans="1:23" x14ac:dyDescent="0.25">
      <c r="A498" s="1" t="s">
        <v>33</v>
      </c>
      <c r="B498" s="1" t="s">
        <v>34</v>
      </c>
      <c r="C498" s="1" t="s">
        <v>19</v>
      </c>
      <c r="D498" s="1">
        <v>33708336969</v>
      </c>
      <c r="E498" s="1" t="s">
        <v>20</v>
      </c>
      <c r="F498" s="1" t="s">
        <v>749</v>
      </c>
      <c r="G498" s="1" t="s">
        <v>53</v>
      </c>
      <c r="H498" s="1" t="s">
        <v>54</v>
      </c>
      <c r="I498" s="1" t="s">
        <v>764</v>
      </c>
      <c r="J498" s="2">
        <v>21</v>
      </c>
      <c r="K498" s="12">
        <v>9000</v>
      </c>
      <c r="L498" s="2">
        <v>7438.02</v>
      </c>
      <c r="M498" s="2">
        <v>0</v>
      </c>
      <c r="N498" s="12">
        <v>1561.98</v>
      </c>
      <c r="O498" s="1">
        <v>0</v>
      </c>
      <c r="P498" s="1">
        <v>0</v>
      </c>
      <c r="Q498" s="1">
        <v>0</v>
      </c>
      <c r="R498" s="1">
        <v>0</v>
      </c>
      <c r="S498" s="8" t="str">
        <f t="shared" si="23"/>
        <v>33708336969003600012234</v>
      </c>
      <c r="T498" s="14" t="str">
        <f>IFERROR(VLOOKUP(S498,AFIP!$F$2:$R$999999,12,FALSE),"NO")</f>
        <v>NO</v>
      </c>
      <c r="U498" s="10" t="str">
        <f t="shared" si="21"/>
        <v>NO</v>
      </c>
      <c r="V498" s="10" t="str">
        <f>IFERROR(VLOOKUP(S498,AFIP!$F$2:$R$999999,13,FALSE),"NO")</f>
        <v>NO</v>
      </c>
      <c r="W498" s="1" t="str">
        <f t="shared" si="22"/>
        <v>NO</v>
      </c>
    </row>
    <row r="499" spans="1:23" hidden="1" x14ac:dyDescent="0.25">
      <c r="A499" s="1" t="s">
        <v>17</v>
      </c>
      <c r="B499" s="1" t="s">
        <v>18</v>
      </c>
      <c r="C499" s="1" t="s">
        <v>19</v>
      </c>
      <c r="D499" s="1">
        <v>30500529454</v>
      </c>
      <c r="E499" s="1" t="s">
        <v>20</v>
      </c>
      <c r="F499" s="1" t="s">
        <v>749</v>
      </c>
      <c r="G499" s="1" t="s">
        <v>53</v>
      </c>
      <c r="H499" s="1" t="s">
        <v>54</v>
      </c>
      <c r="I499" s="1" t="s">
        <v>765</v>
      </c>
      <c r="J499" s="2">
        <v>21</v>
      </c>
      <c r="K499" s="12">
        <v>411458.59</v>
      </c>
      <c r="L499" s="2">
        <v>325515.40000000002</v>
      </c>
      <c r="M499" s="2">
        <v>0</v>
      </c>
      <c r="N499" s="12">
        <v>68358.070000000007</v>
      </c>
      <c r="O499" s="1">
        <v>9591.8799999999992</v>
      </c>
      <c r="P499" s="1">
        <v>7993.24</v>
      </c>
      <c r="Q499" s="1">
        <v>0</v>
      </c>
      <c r="R499" s="1">
        <v>0</v>
      </c>
      <c r="S499" s="8" t="str">
        <f t="shared" si="23"/>
        <v>30500529454026700908552</v>
      </c>
      <c r="T499" s="14">
        <f>IFERROR(VLOOKUP(S499,AFIP!$F$2:$R$999999,12,FALSE),"NO")</f>
        <v>69480.820000000007</v>
      </c>
      <c r="U499" s="10" t="str">
        <f t="shared" si="21"/>
        <v>NO</v>
      </c>
      <c r="V499" s="10">
        <f>IFERROR(VLOOKUP(S499,AFIP!$F$2:$R$999999,13,FALSE),"NO")</f>
        <v>418539.25</v>
      </c>
      <c r="W499" s="1" t="str">
        <f t="shared" si="22"/>
        <v>NO</v>
      </c>
    </row>
    <row r="500" spans="1:23" hidden="1" x14ac:dyDescent="0.25">
      <c r="A500" s="1" t="s">
        <v>17</v>
      </c>
      <c r="B500" s="1" t="s">
        <v>18</v>
      </c>
      <c r="C500" s="1" t="s">
        <v>19</v>
      </c>
      <c r="D500" s="1">
        <v>30500529454</v>
      </c>
      <c r="E500" s="1" t="s">
        <v>20</v>
      </c>
      <c r="F500" s="1" t="s">
        <v>749</v>
      </c>
      <c r="G500" s="1" t="s">
        <v>53</v>
      </c>
      <c r="H500" s="1" t="s">
        <v>54</v>
      </c>
      <c r="I500" s="1" t="s">
        <v>765</v>
      </c>
      <c r="J500" s="2">
        <v>21</v>
      </c>
      <c r="K500" s="12">
        <v>7080.66</v>
      </c>
      <c r="L500" s="2">
        <v>5345.8</v>
      </c>
      <c r="M500" s="2">
        <v>0</v>
      </c>
      <c r="N500" s="12">
        <v>1122.6199999999999</v>
      </c>
      <c r="O500" s="1">
        <v>333.95</v>
      </c>
      <c r="P500" s="1">
        <v>278.29000000000002</v>
      </c>
      <c r="Q500" s="1">
        <v>0</v>
      </c>
      <c r="R500" s="1">
        <v>0</v>
      </c>
      <c r="S500" s="8" t="str">
        <f t="shared" si="23"/>
        <v>30500529454026700908552</v>
      </c>
      <c r="T500" s="14">
        <f>IFERROR(VLOOKUP(S500,AFIP!$F$2:$R$999999,12,FALSE),"NO")</f>
        <v>69480.820000000007</v>
      </c>
      <c r="U500" s="10" t="str">
        <f t="shared" si="21"/>
        <v>NO</v>
      </c>
      <c r="V500" s="10">
        <f>IFERROR(VLOOKUP(S500,AFIP!$F$2:$R$999999,13,FALSE),"NO")</f>
        <v>418539.25</v>
      </c>
      <c r="W500" s="1" t="str">
        <f t="shared" si="22"/>
        <v>NO</v>
      </c>
    </row>
    <row r="501" spans="1:23" hidden="1" x14ac:dyDescent="0.25">
      <c r="A501" s="1" t="s">
        <v>17</v>
      </c>
      <c r="B501" s="1" t="s">
        <v>18</v>
      </c>
      <c r="C501" s="1" t="s">
        <v>19</v>
      </c>
      <c r="D501" s="1">
        <v>30500529454</v>
      </c>
      <c r="E501" s="1" t="s">
        <v>20</v>
      </c>
      <c r="F501" s="1" t="s">
        <v>749</v>
      </c>
      <c r="G501" s="1" t="s">
        <v>53</v>
      </c>
      <c r="H501" s="1" t="s">
        <v>54</v>
      </c>
      <c r="I501" s="1" t="s">
        <v>766</v>
      </c>
      <c r="J501" s="2">
        <v>21</v>
      </c>
      <c r="K501" s="12">
        <v>13600109.699999999</v>
      </c>
      <c r="L501" s="2">
        <v>10762142.91</v>
      </c>
      <c r="M501" s="2">
        <v>0</v>
      </c>
      <c r="N501" s="12">
        <v>2260043.36</v>
      </c>
      <c r="O501" s="1">
        <v>315230.96999999997</v>
      </c>
      <c r="P501" s="1">
        <v>262692.46999999997</v>
      </c>
      <c r="Q501" s="1">
        <v>-0.01</v>
      </c>
      <c r="R501" s="1">
        <v>0</v>
      </c>
      <c r="S501" s="8" t="str">
        <f t="shared" si="23"/>
        <v>30500529454026700908554</v>
      </c>
      <c r="T501" s="14">
        <f>IFERROR(VLOOKUP(S501,AFIP!$F$2:$R$999999,12,FALSE),"NO")</f>
        <v>2309991.1</v>
      </c>
      <c r="U501" s="10" t="str">
        <f t="shared" si="21"/>
        <v>NO</v>
      </c>
      <c r="V501" s="10">
        <f>IFERROR(VLOOKUP(S501,AFIP!$F$2:$R$999999,13,FALSE),"NO")</f>
        <v>13914946.369999999</v>
      </c>
      <c r="W501" s="1" t="str">
        <f t="shared" si="22"/>
        <v>NO</v>
      </c>
    </row>
    <row r="502" spans="1:23" hidden="1" x14ac:dyDescent="0.25">
      <c r="A502" s="1" t="s">
        <v>17</v>
      </c>
      <c r="B502" s="1" t="s">
        <v>18</v>
      </c>
      <c r="C502" s="1" t="s">
        <v>19</v>
      </c>
      <c r="D502" s="1">
        <v>30500529454</v>
      </c>
      <c r="E502" s="1" t="s">
        <v>20</v>
      </c>
      <c r="F502" s="1" t="s">
        <v>749</v>
      </c>
      <c r="G502" s="1" t="s">
        <v>53</v>
      </c>
      <c r="H502" s="1" t="s">
        <v>54</v>
      </c>
      <c r="I502" s="1" t="s">
        <v>766</v>
      </c>
      <c r="J502" s="2">
        <v>21</v>
      </c>
      <c r="K502" s="12">
        <v>314836.65999999997</v>
      </c>
      <c r="L502" s="2">
        <v>237820.3</v>
      </c>
      <c r="M502" s="2">
        <v>0</v>
      </c>
      <c r="N502" s="12">
        <v>49942.12</v>
      </c>
      <c r="O502" s="1">
        <v>14767.77</v>
      </c>
      <c r="P502" s="1">
        <v>12306.47</v>
      </c>
      <c r="Q502" s="1">
        <v>0</v>
      </c>
      <c r="R502" s="1">
        <v>0</v>
      </c>
      <c r="S502" s="8" t="str">
        <f t="shared" si="23"/>
        <v>30500529454026700908554</v>
      </c>
      <c r="T502" s="14">
        <f>IFERROR(VLOOKUP(S502,AFIP!$F$2:$R$999999,12,FALSE),"NO")</f>
        <v>2309991.1</v>
      </c>
      <c r="U502" s="10" t="str">
        <f t="shared" si="21"/>
        <v>NO</v>
      </c>
      <c r="V502" s="10">
        <f>IFERROR(VLOOKUP(S502,AFIP!$F$2:$R$999999,13,FALSE),"NO")</f>
        <v>13914946.369999999</v>
      </c>
      <c r="W502" s="1" t="str">
        <f t="shared" si="22"/>
        <v>NO</v>
      </c>
    </row>
    <row r="503" spans="1:23" hidden="1" x14ac:dyDescent="0.25">
      <c r="A503" s="1" t="s">
        <v>1119</v>
      </c>
      <c r="B503" s="1" t="s">
        <v>306</v>
      </c>
      <c r="C503" s="1" t="s">
        <v>19</v>
      </c>
      <c r="D503" s="1">
        <v>27409286106</v>
      </c>
      <c r="E503" s="1" t="s">
        <v>63</v>
      </c>
      <c r="F503" s="1" t="s">
        <v>749</v>
      </c>
      <c r="G503" s="1" t="s">
        <v>53</v>
      </c>
      <c r="H503" s="1" t="s">
        <v>59</v>
      </c>
      <c r="I503" s="1" t="s">
        <v>1180</v>
      </c>
      <c r="J503" s="1">
        <v>0</v>
      </c>
      <c r="K503" s="12">
        <v>20500</v>
      </c>
      <c r="L503" s="1">
        <v>0</v>
      </c>
      <c r="M503" s="1">
        <v>20500</v>
      </c>
      <c r="N503" s="12">
        <v>0</v>
      </c>
      <c r="O503" s="1">
        <v>0</v>
      </c>
      <c r="P503" s="1">
        <v>0</v>
      </c>
      <c r="Q503" s="1">
        <v>0</v>
      </c>
      <c r="R503" s="1">
        <v>0</v>
      </c>
      <c r="S503" s="8" t="str">
        <f t="shared" si="23"/>
        <v>27409286106000100000385</v>
      </c>
      <c r="T503" s="14">
        <f>IFERROR(VLOOKUP(S503,AFIP!$F$2:$R$999999,12,FALSE),"NO")</f>
        <v>0</v>
      </c>
      <c r="U503" s="10" t="str">
        <f t="shared" si="21"/>
        <v>SI</v>
      </c>
      <c r="V503" s="10">
        <f>IFERROR(VLOOKUP(S503,AFIP!$F$2:$R$999999,13,FALSE),"NO")</f>
        <v>20500</v>
      </c>
      <c r="W503" s="1" t="str">
        <f t="shared" si="22"/>
        <v>SI</v>
      </c>
    </row>
    <row r="504" spans="1:23" x14ac:dyDescent="0.25">
      <c r="A504" s="1" t="s">
        <v>150</v>
      </c>
      <c r="B504" s="1" t="s">
        <v>151</v>
      </c>
      <c r="C504" s="1" t="s">
        <v>19</v>
      </c>
      <c r="D504" s="1">
        <v>30500010912</v>
      </c>
      <c r="E504" s="1" t="s">
        <v>20</v>
      </c>
      <c r="F504" s="1" t="s">
        <v>767</v>
      </c>
      <c r="G504" s="1" t="s">
        <v>53</v>
      </c>
      <c r="H504" s="1" t="s">
        <v>54</v>
      </c>
      <c r="I504" s="1" t="s">
        <v>768</v>
      </c>
      <c r="J504" s="2">
        <v>21</v>
      </c>
      <c r="K504" s="12">
        <v>28913.48</v>
      </c>
      <c r="L504" s="2">
        <v>23895.439999999999</v>
      </c>
      <c r="M504" s="2">
        <v>0</v>
      </c>
      <c r="N504" s="12">
        <v>5018.04</v>
      </c>
      <c r="O504" s="1">
        <v>0</v>
      </c>
      <c r="P504" s="1">
        <v>0</v>
      </c>
      <c r="Q504" s="1">
        <v>0</v>
      </c>
      <c r="R504" s="1">
        <v>0</v>
      </c>
      <c r="S504" s="8" t="str">
        <f t="shared" si="23"/>
        <v>30500010912000100003714</v>
      </c>
      <c r="T504" s="14" t="str">
        <f>IFERROR(VLOOKUP(S504,AFIP!$F$2:$R$999999,12,FALSE),"NO")</f>
        <v>NO</v>
      </c>
      <c r="U504" s="10" t="str">
        <f t="shared" si="21"/>
        <v>NO</v>
      </c>
      <c r="V504" s="10" t="str">
        <f>IFERROR(VLOOKUP(S504,AFIP!$F$2:$R$999999,13,FALSE),"NO")</f>
        <v>NO</v>
      </c>
      <c r="W504" s="1" t="str">
        <f t="shared" si="22"/>
        <v>NO</v>
      </c>
    </row>
    <row r="505" spans="1:23" x14ac:dyDescent="0.25">
      <c r="A505" s="1" t="s">
        <v>150</v>
      </c>
      <c r="B505" s="1" t="s">
        <v>151</v>
      </c>
      <c r="C505" s="1" t="s">
        <v>19</v>
      </c>
      <c r="D505" s="1">
        <v>30500010912</v>
      </c>
      <c r="E505" s="1" t="s">
        <v>20</v>
      </c>
      <c r="F505" s="1" t="s">
        <v>767</v>
      </c>
      <c r="G505" s="1" t="s">
        <v>53</v>
      </c>
      <c r="H505" s="1" t="s">
        <v>54</v>
      </c>
      <c r="I505" s="1" t="s">
        <v>769</v>
      </c>
      <c r="J505" s="2">
        <v>21</v>
      </c>
      <c r="K505" s="12">
        <v>522.84</v>
      </c>
      <c r="L505" s="2">
        <v>432.1</v>
      </c>
      <c r="M505" s="2">
        <v>0</v>
      </c>
      <c r="N505" s="12">
        <v>90.74</v>
      </c>
      <c r="O505" s="1">
        <v>0</v>
      </c>
      <c r="P505" s="1">
        <v>0</v>
      </c>
      <c r="Q505" s="1">
        <v>0</v>
      </c>
      <c r="R505" s="1">
        <v>0</v>
      </c>
      <c r="S505" s="8" t="str">
        <f t="shared" si="23"/>
        <v>30500010912000100003716</v>
      </c>
      <c r="T505" s="14" t="str">
        <f>IFERROR(VLOOKUP(S505,AFIP!$F$2:$R$999999,12,FALSE),"NO")</f>
        <v>NO</v>
      </c>
      <c r="U505" s="10" t="str">
        <f t="shared" si="21"/>
        <v>NO</v>
      </c>
      <c r="V505" s="10" t="str">
        <f>IFERROR(VLOOKUP(S505,AFIP!$F$2:$R$999999,13,FALSE),"NO")</f>
        <v>NO</v>
      </c>
      <c r="W505" s="1" t="str">
        <f t="shared" si="22"/>
        <v>NO</v>
      </c>
    </row>
    <row r="506" spans="1:23" x14ac:dyDescent="0.25">
      <c r="A506" s="1" t="s">
        <v>150</v>
      </c>
      <c r="B506" s="1" t="s">
        <v>151</v>
      </c>
      <c r="C506" s="1" t="s">
        <v>19</v>
      </c>
      <c r="D506" s="1">
        <v>30500010912</v>
      </c>
      <c r="E506" s="1" t="s">
        <v>20</v>
      </c>
      <c r="F506" s="1" t="s">
        <v>767</v>
      </c>
      <c r="G506" s="1" t="s">
        <v>53</v>
      </c>
      <c r="H506" s="1" t="s">
        <v>54</v>
      </c>
      <c r="I506" s="1" t="s">
        <v>770</v>
      </c>
      <c r="J506" s="2">
        <v>21</v>
      </c>
      <c r="K506" s="12">
        <v>34.06</v>
      </c>
      <c r="L506" s="2">
        <v>28.15</v>
      </c>
      <c r="M506" s="2">
        <v>0</v>
      </c>
      <c r="N506" s="12">
        <v>5.91</v>
      </c>
      <c r="O506" s="1">
        <v>0</v>
      </c>
      <c r="P506" s="1">
        <v>0</v>
      </c>
      <c r="Q506" s="1">
        <v>0</v>
      </c>
      <c r="R506" s="1">
        <v>0</v>
      </c>
      <c r="S506" s="8" t="str">
        <f t="shared" si="23"/>
        <v>30500010912000100003719</v>
      </c>
      <c r="T506" s="14" t="str">
        <f>IFERROR(VLOOKUP(S506,AFIP!$F$2:$R$999999,12,FALSE),"NO")</f>
        <v>NO</v>
      </c>
      <c r="U506" s="10" t="str">
        <f t="shared" si="21"/>
        <v>NO</v>
      </c>
      <c r="V506" s="10" t="str">
        <f>IFERROR(VLOOKUP(S506,AFIP!$F$2:$R$999999,13,FALSE),"NO")</f>
        <v>NO</v>
      </c>
      <c r="W506" s="1" t="str">
        <f t="shared" si="22"/>
        <v>NO</v>
      </c>
    </row>
    <row r="507" spans="1:23" x14ac:dyDescent="0.25">
      <c r="A507" s="1" t="s">
        <v>150</v>
      </c>
      <c r="B507" s="1" t="s">
        <v>151</v>
      </c>
      <c r="C507" s="1" t="s">
        <v>19</v>
      </c>
      <c r="D507" s="1">
        <v>30500010912</v>
      </c>
      <c r="E507" s="1" t="s">
        <v>20</v>
      </c>
      <c r="F507" s="1" t="s">
        <v>767</v>
      </c>
      <c r="G507" s="1" t="s">
        <v>53</v>
      </c>
      <c r="H507" s="1" t="s">
        <v>54</v>
      </c>
      <c r="I507" s="1" t="s">
        <v>771</v>
      </c>
      <c r="J507" s="1">
        <v>21</v>
      </c>
      <c r="K507" s="12">
        <v>1031.3599999999999</v>
      </c>
      <c r="L507" s="1">
        <v>852.36</v>
      </c>
      <c r="M507" s="1">
        <v>0</v>
      </c>
      <c r="N507" s="12">
        <v>179</v>
      </c>
      <c r="O507" s="1">
        <v>0</v>
      </c>
      <c r="P507" s="1">
        <v>0</v>
      </c>
      <c r="Q507" s="1">
        <v>0</v>
      </c>
      <c r="R507" s="1">
        <v>0</v>
      </c>
      <c r="S507" s="8" t="str">
        <f t="shared" si="23"/>
        <v>30500010912000100003723</v>
      </c>
      <c r="T507" s="14" t="str">
        <f>IFERROR(VLOOKUP(S507,AFIP!$F$2:$R$999999,12,FALSE),"NO")</f>
        <v>NO</v>
      </c>
      <c r="U507" s="10" t="str">
        <f t="shared" si="21"/>
        <v>NO</v>
      </c>
      <c r="V507" s="10" t="str">
        <f>IFERROR(VLOOKUP(S507,AFIP!$F$2:$R$999999,13,FALSE),"NO")</f>
        <v>NO</v>
      </c>
      <c r="W507" s="1" t="str">
        <f t="shared" si="22"/>
        <v>NO</v>
      </c>
    </row>
    <row r="508" spans="1:23" x14ac:dyDescent="0.25">
      <c r="A508" s="1" t="s">
        <v>150</v>
      </c>
      <c r="B508" s="1" t="s">
        <v>151</v>
      </c>
      <c r="C508" s="1" t="s">
        <v>19</v>
      </c>
      <c r="D508" s="1">
        <v>30500010912</v>
      </c>
      <c r="E508" s="1" t="s">
        <v>20</v>
      </c>
      <c r="F508" s="1" t="s">
        <v>767</v>
      </c>
      <c r="G508" s="1" t="s">
        <v>53</v>
      </c>
      <c r="H508" s="1" t="s">
        <v>54</v>
      </c>
      <c r="I508" s="1" t="s">
        <v>772</v>
      </c>
      <c r="J508" s="2">
        <v>21</v>
      </c>
      <c r="K508" s="12">
        <v>317.48</v>
      </c>
      <c r="L508" s="2">
        <v>262.38</v>
      </c>
      <c r="M508" s="2">
        <v>0</v>
      </c>
      <c r="N508" s="12">
        <v>55.1</v>
      </c>
      <c r="O508" s="1">
        <v>0</v>
      </c>
      <c r="P508" s="1">
        <v>0</v>
      </c>
      <c r="Q508" s="1">
        <v>0</v>
      </c>
      <c r="R508" s="1">
        <v>0</v>
      </c>
      <c r="S508" s="8" t="str">
        <f t="shared" si="23"/>
        <v>30500010912000100003727</v>
      </c>
      <c r="T508" s="14" t="str">
        <f>IFERROR(VLOOKUP(S508,AFIP!$F$2:$R$999999,12,FALSE),"NO")</f>
        <v>NO</v>
      </c>
      <c r="U508" s="10" t="str">
        <f t="shared" si="21"/>
        <v>NO</v>
      </c>
      <c r="V508" s="10" t="str">
        <f>IFERROR(VLOOKUP(S508,AFIP!$F$2:$R$999999,13,FALSE),"NO")</f>
        <v>NO</v>
      </c>
      <c r="W508" s="1" t="str">
        <f t="shared" si="22"/>
        <v>NO</v>
      </c>
    </row>
    <row r="509" spans="1:23" x14ac:dyDescent="0.25">
      <c r="A509" s="1" t="s">
        <v>147</v>
      </c>
      <c r="B509" s="1" t="s">
        <v>745</v>
      </c>
      <c r="C509" s="1" t="s">
        <v>19</v>
      </c>
      <c r="D509" s="1">
        <v>30500010084</v>
      </c>
      <c r="E509" s="1" t="s">
        <v>20</v>
      </c>
      <c r="F509" s="1" t="s">
        <v>767</v>
      </c>
      <c r="G509" s="1" t="s">
        <v>53</v>
      </c>
      <c r="H509" s="1" t="s">
        <v>54</v>
      </c>
      <c r="I509" s="1" t="s">
        <v>773</v>
      </c>
      <c r="J509" s="2">
        <v>21</v>
      </c>
      <c r="K509" s="12">
        <v>9341.26</v>
      </c>
      <c r="L509" s="2">
        <v>7720.05</v>
      </c>
      <c r="M509" s="2">
        <v>0</v>
      </c>
      <c r="N509" s="12">
        <v>1621.21</v>
      </c>
      <c r="O509" s="1">
        <v>0</v>
      </c>
      <c r="P509" s="1">
        <v>0</v>
      </c>
      <c r="Q509" s="1">
        <v>0</v>
      </c>
      <c r="R509" s="1">
        <v>0</v>
      </c>
      <c r="S509" s="8" t="str">
        <f t="shared" si="23"/>
        <v>30500010084000100011182</v>
      </c>
      <c r="T509" s="14" t="str">
        <f>IFERROR(VLOOKUP(S509,AFIP!$F$2:$R$999999,12,FALSE),"NO")</f>
        <v>NO</v>
      </c>
      <c r="U509" s="10" t="str">
        <f t="shared" si="21"/>
        <v>NO</v>
      </c>
      <c r="V509" s="10" t="str">
        <f>IFERROR(VLOOKUP(S509,AFIP!$F$2:$R$999999,13,FALSE),"NO")</f>
        <v>NO</v>
      </c>
      <c r="W509" s="1" t="str">
        <f t="shared" si="22"/>
        <v>NO</v>
      </c>
    </row>
    <row r="510" spans="1:23" x14ac:dyDescent="0.25">
      <c r="A510" s="1" t="s">
        <v>147</v>
      </c>
      <c r="B510" s="1" t="s">
        <v>745</v>
      </c>
      <c r="C510" s="1" t="s">
        <v>19</v>
      </c>
      <c r="D510" s="1">
        <v>30500010084</v>
      </c>
      <c r="E510" s="1" t="s">
        <v>20</v>
      </c>
      <c r="F510" s="1" t="s">
        <v>767</v>
      </c>
      <c r="G510" s="1" t="s">
        <v>53</v>
      </c>
      <c r="H510" s="1" t="s">
        <v>54</v>
      </c>
      <c r="I510" s="1" t="s">
        <v>773</v>
      </c>
      <c r="J510" s="2">
        <v>10.5</v>
      </c>
      <c r="K510" s="12">
        <v>15287.01</v>
      </c>
      <c r="L510" s="2">
        <v>13834.4</v>
      </c>
      <c r="M510" s="2">
        <v>0</v>
      </c>
      <c r="N510" s="12">
        <v>1452.61</v>
      </c>
      <c r="O510" s="1">
        <v>0</v>
      </c>
      <c r="P510" s="1">
        <v>0</v>
      </c>
      <c r="Q510" s="1">
        <v>0</v>
      </c>
      <c r="R510" s="1">
        <v>0</v>
      </c>
      <c r="S510" s="8" t="str">
        <f t="shared" si="23"/>
        <v>30500010084000100011182</v>
      </c>
      <c r="T510" s="14" t="str">
        <f>IFERROR(VLOOKUP(S510,AFIP!$F$2:$R$999999,12,FALSE),"NO")</f>
        <v>NO</v>
      </c>
      <c r="U510" s="10" t="str">
        <f t="shared" si="21"/>
        <v>NO</v>
      </c>
      <c r="V510" s="10" t="str">
        <f>IFERROR(VLOOKUP(S510,AFIP!$F$2:$R$999999,13,FALSE),"NO")</f>
        <v>NO</v>
      </c>
      <c r="W510" s="1" t="str">
        <f t="shared" si="22"/>
        <v>NO</v>
      </c>
    </row>
    <row r="511" spans="1:23" x14ac:dyDescent="0.25">
      <c r="A511" s="1" t="s">
        <v>147</v>
      </c>
      <c r="B511" s="1" t="s">
        <v>745</v>
      </c>
      <c r="C511" s="1" t="s">
        <v>19</v>
      </c>
      <c r="D511" s="1">
        <v>30500010084</v>
      </c>
      <c r="E511" s="1" t="s">
        <v>20</v>
      </c>
      <c r="F511" s="1" t="s">
        <v>767</v>
      </c>
      <c r="G511" s="1" t="s">
        <v>53</v>
      </c>
      <c r="H511" s="1" t="s">
        <v>54</v>
      </c>
      <c r="I511" s="1" t="s">
        <v>774</v>
      </c>
      <c r="J511" s="1">
        <v>21</v>
      </c>
      <c r="K511" s="12">
        <v>2566.79</v>
      </c>
      <c r="L511" s="1">
        <v>2121.31</v>
      </c>
      <c r="M511" s="1">
        <v>0</v>
      </c>
      <c r="N511" s="12">
        <v>445.48</v>
      </c>
      <c r="O511" s="1">
        <v>0</v>
      </c>
      <c r="P511" s="1">
        <v>0</v>
      </c>
      <c r="Q511" s="1">
        <v>0</v>
      </c>
      <c r="R511" s="1">
        <v>0</v>
      </c>
      <c r="S511" s="8" t="str">
        <f t="shared" si="23"/>
        <v>30500010084000100011183</v>
      </c>
      <c r="T511" s="14" t="str">
        <f>IFERROR(VLOOKUP(S511,AFIP!$F$2:$R$999999,12,FALSE),"NO")</f>
        <v>NO</v>
      </c>
      <c r="U511" s="10" t="str">
        <f t="shared" ref="U511:U574" si="24">IF(N511=T511,"SI","NO")</f>
        <v>NO</v>
      </c>
      <c r="V511" s="10" t="str">
        <f>IFERROR(VLOOKUP(S511,AFIP!$F$2:$R$999999,13,FALSE),"NO")</f>
        <v>NO</v>
      </c>
      <c r="W511" s="1" t="str">
        <f t="shared" ref="W511:W574" si="25">IF(K511=V511,"SI","NO")</f>
        <v>NO</v>
      </c>
    </row>
    <row r="512" spans="1:23" x14ac:dyDescent="0.25">
      <c r="A512" s="1" t="s">
        <v>150</v>
      </c>
      <c r="B512" s="1" t="s">
        <v>151</v>
      </c>
      <c r="C512" s="1" t="s">
        <v>19</v>
      </c>
      <c r="D512" s="1">
        <v>30500010912</v>
      </c>
      <c r="E512" s="1" t="s">
        <v>20</v>
      </c>
      <c r="F512" s="1" t="s">
        <v>767</v>
      </c>
      <c r="G512" s="1" t="s">
        <v>53</v>
      </c>
      <c r="H512" s="1" t="s">
        <v>54</v>
      </c>
      <c r="I512" s="1" t="s">
        <v>775</v>
      </c>
      <c r="J512" s="2">
        <v>21</v>
      </c>
      <c r="K512" s="12">
        <v>4399.22</v>
      </c>
      <c r="L512" s="2">
        <v>3635.72</v>
      </c>
      <c r="M512" s="2">
        <v>0</v>
      </c>
      <c r="N512" s="12">
        <v>763.5</v>
      </c>
      <c r="O512" s="1">
        <v>0</v>
      </c>
      <c r="P512" s="1">
        <v>0</v>
      </c>
      <c r="Q512" s="1">
        <v>0</v>
      </c>
      <c r="R512" s="1">
        <v>0</v>
      </c>
      <c r="S512" s="8" t="str">
        <f t="shared" si="23"/>
        <v>30500010912000100014754</v>
      </c>
      <c r="T512" s="14" t="str">
        <f>IFERROR(VLOOKUP(S512,AFIP!$F$2:$R$999999,12,FALSE),"NO")</f>
        <v>NO</v>
      </c>
      <c r="U512" s="10" t="str">
        <f t="shared" si="24"/>
        <v>NO</v>
      </c>
      <c r="V512" s="10" t="str">
        <f>IFERROR(VLOOKUP(S512,AFIP!$F$2:$R$999999,13,FALSE),"NO")</f>
        <v>NO</v>
      </c>
      <c r="W512" s="1" t="str">
        <f t="shared" si="25"/>
        <v>NO</v>
      </c>
    </row>
    <row r="513" spans="1:23" x14ac:dyDescent="0.25">
      <c r="A513" s="1" t="s">
        <v>150</v>
      </c>
      <c r="B513" s="1" t="s">
        <v>151</v>
      </c>
      <c r="C513" s="1" t="s">
        <v>19</v>
      </c>
      <c r="D513" s="1">
        <v>30500010912</v>
      </c>
      <c r="E513" s="1" t="s">
        <v>20</v>
      </c>
      <c r="F513" s="1" t="s">
        <v>767</v>
      </c>
      <c r="G513" s="1" t="s">
        <v>53</v>
      </c>
      <c r="H513" s="1" t="s">
        <v>54</v>
      </c>
      <c r="I513" s="1" t="s">
        <v>775</v>
      </c>
      <c r="J513" s="2">
        <v>10.5</v>
      </c>
      <c r="K513" s="12">
        <v>18837.490000000002</v>
      </c>
      <c r="L513" s="2">
        <v>17047.5</v>
      </c>
      <c r="M513" s="2">
        <v>0</v>
      </c>
      <c r="N513" s="12">
        <v>1789.99</v>
      </c>
      <c r="O513" s="1">
        <v>0</v>
      </c>
      <c r="P513" s="1">
        <v>0</v>
      </c>
      <c r="Q513" s="1">
        <v>0</v>
      </c>
      <c r="R513" s="1">
        <v>0</v>
      </c>
      <c r="S513" s="8" t="str">
        <f t="shared" si="23"/>
        <v>30500010912000100014754</v>
      </c>
      <c r="T513" s="14" t="str">
        <f>IFERROR(VLOOKUP(S513,AFIP!$F$2:$R$999999,12,FALSE),"NO")</f>
        <v>NO</v>
      </c>
      <c r="U513" s="10" t="str">
        <f t="shared" si="24"/>
        <v>NO</v>
      </c>
      <c r="V513" s="10" t="str">
        <f>IFERROR(VLOOKUP(S513,AFIP!$F$2:$R$999999,13,FALSE),"NO")</f>
        <v>NO</v>
      </c>
      <c r="W513" s="1" t="str">
        <f t="shared" si="25"/>
        <v>NO</v>
      </c>
    </row>
    <row r="514" spans="1:23" x14ac:dyDescent="0.25">
      <c r="A514" s="1" t="s">
        <v>150</v>
      </c>
      <c r="B514" s="1" t="s">
        <v>151</v>
      </c>
      <c r="C514" s="1" t="s">
        <v>19</v>
      </c>
      <c r="D514" s="1">
        <v>30500010912</v>
      </c>
      <c r="E514" s="1" t="s">
        <v>20</v>
      </c>
      <c r="F514" s="1" t="s">
        <v>767</v>
      </c>
      <c r="G514" s="1" t="s">
        <v>53</v>
      </c>
      <c r="H514" s="1" t="s">
        <v>54</v>
      </c>
      <c r="I514" s="1" t="s">
        <v>776</v>
      </c>
      <c r="J514" s="2">
        <v>21</v>
      </c>
      <c r="K514" s="12">
        <v>3189.09</v>
      </c>
      <c r="L514" s="2">
        <v>2635.61</v>
      </c>
      <c r="M514" s="2">
        <v>0</v>
      </c>
      <c r="N514" s="12">
        <v>553.48</v>
      </c>
      <c r="O514" s="1">
        <v>0</v>
      </c>
      <c r="P514" s="1">
        <v>0</v>
      </c>
      <c r="Q514" s="1">
        <v>0</v>
      </c>
      <c r="R514" s="1">
        <v>0</v>
      </c>
      <c r="S514" s="8" t="str">
        <f t="shared" si="23"/>
        <v>30500010912000100014762</v>
      </c>
      <c r="T514" s="14" t="str">
        <f>IFERROR(VLOOKUP(S514,AFIP!$F$2:$R$999999,12,FALSE),"NO")</f>
        <v>NO</v>
      </c>
      <c r="U514" s="10" t="str">
        <f t="shared" si="24"/>
        <v>NO</v>
      </c>
      <c r="V514" s="10" t="str">
        <f>IFERROR(VLOOKUP(S514,AFIP!$F$2:$R$999999,13,FALSE),"NO")</f>
        <v>NO</v>
      </c>
      <c r="W514" s="1" t="str">
        <f t="shared" si="25"/>
        <v>NO</v>
      </c>
    </row>
    <row r="515" spans="1:23" x14ac:dyDescent="0.25">
      <c r="A515" s="1" t="s">
        <v>150</v>
      </c>
      <c r="B515" s="1" t="s">
        <v>151</v>
      </c>
      <c r="C515" s="1" t="s">
        <v>19</v>
      </c>
      <c r="D515" s="1">
        <v>30500010912</v>
      </c>
      <c r="E515" s="1" t="s">
        <v>20</v>
      </c>
      <c r="F515" s="1" t="s">
        <v>767</v>
      </c>
      <c r="G515" s="1" t="s">
        <v>53</v>
      </c>
      <c r="H515" s="1" t="s">
        <v>54</v>
      </c>
      <c r="I515" s="1" t="s">
        <v>776</v>
      </c>
      <c r="J515" s="1">
        <v>10.5</v>
      </c>
      <c r="K515" s="12">
        <v>13655.69</v>
      </c>
      <c r="L515" s="1">
        <v>12358.09</v>
      </c>
      <c r="M515" s="1">
        <v>0</v>
      </c>
      <c r="N515" s="12">
        <v>1297.5999999999999</v>
      </c>
      <c r="O515" s="1">
        <v>0</v>
      </c>
      <c r="P515" s="1">
        <v>0</v>
      </c>
      <c r="Q515" s="1">
        <v>0</v>
      </c>
      <c r="R515" s="1">
        <v>0</v>
      </c>
      <c r="S515" s="8" t="str">
        <f t="shared" ref="S515:S578" si="26">D515&amp;I515</f>
        <v>30500010912000100014762</v>
      </c>
      <c r="T515" s="14" t="str">
        <f>IFERROR(VLOOKUP(S515,AFIP!$F$2:$R$999999,12,FALSE),"NO")</f>
        <v>NO</v>
      </c>
      <c r="U515" s="10" t="str">
        <f t="shared" si="24"/>
        <v>NO</v>
      </c>
      <c r="V515" s="10" t="str">
        <f>IFERROR(VLOOKUP(S515,AFIP!$F$2:$R$999999,13,FALSE),"NO")</f>
        <v>NO</v>
      </c>
      <c r="W515" s="1" t="str">
        <f t="shared" si="25"/>
        <v>NO</v>
      </c>
    </row>
    <row r="516" spans="1:23" x14ac:dyDescent="0.25">
      <c r="A516" s="1" t="s">
        <v>64</v>
      </c>
      <c r="B516" s="1" t="s">
        <v>65</v>
      </c>
      <c r="C516" s="1" t="s">
        <v>19</v>
      </c>
      <c r="D516" s="1">
        <v>30500008454</v>
      </c>
      <c r="E516" s="1" t="s">
        <v>20</v>
      </c>
      <c r="F516" s="1" t="s">
        <v>767</v>
      </c>
      <c r="G516" s="1" t="s">
        <v>53</v>
      </c>
      <c r="H516" s="1" t="s">
        <v>54</v>
      </c>
      <c r="I516" s="1" t="s">
        <v>777</v>
      </c>
      <c r="J516" s="1">
        <v>21</v>
      </c>
      <c r="K516" s="12">
        <v>1971.45</v>
      </c>
      <c r="L516" s="1">
        <v>1629.3</v>
      </c>
      <c r="M516" s="1">
        <v>0</v>
      </c>
      <c r="N516" s="12">
        <v>342.15</v>
      </c>
      <c r="O516" s="1">
        <v>0</v>
      </c>
      <c r="P516" s="1">
        <v>0</v>
      </c>
      <c r="Q516" s="1">
        <v>0</v>
      </c>
      <c r="R516" s="1">
        <v>0</v>
      </c>
      <c r="S516" s="8" t="str">
        <f t="shared" si="26"/>
        <v>30500008454000100039237</v>
      </c>
      <c r="T516" s="14" t="str">
        <f>IFERROR(VLOOKUP(S516,AFIP!$F$2:$R$999999,12,FALSE),"NO")</f>
        <v>NO</v>
      </c>
      <c r="U516" s="10" t="str">
        <f t="shared" si="24"/>
        <v>NO</v>
      </c>
      <c r="V516" s="10" t="str">
        <f>IFERROR(VLOOKUP(S516,AFIP!$F$2:$R$999999,13,FALSE),"NO")</f>
        <v>NO</v>
      </c>
      <c r="W516" s="1" t="str">
        <f t="shared" si="25"/>
        <v>NO</v>
      </c>
    </row>
    <row r="517" spans="1:23" x14ac:dyDescent="0.25">
      <c r="A517" s="1" t="s">
        <v>64</v>
      </c>
      <c r="B517" s="1" t="s">
        <v>65</v>
      </c>
      <c r="C517" s="1" t="s">
        <v>19</v>
      </c>
      <c r="D517" s="1">
        <v>30500008454</v>
      </c>
      <c r="E517" s="1" t="s">
        <v>20</v>
      </c>
      <c r="F517" s="1" t="s">
        <v>767</v>
      </c>
      <c r="G517" s="1" t="s">
        <v>53</v>
      </c>
      <c r="H517" s="1" t="s">
        <v>54</v>
      </c>
      <c r="I517" s="1" t="s">
        <v>778</v>
      </c>
      <c r="J517" s="2">
        <v>21</v>
      </c>
      <c r="K517" s="12">
        <v>111.97</v>
      </c>
      <c r="L517" s="2">
        <v>92.54</v>
      </c>
      <c r="M517" s="2">
        <v>0</v>
      </c>
      <c r="N517" s="12">
        <v>19.43</v>
      </c>
      <c r="O517" s="1">
        <v>0</v>
      </c>
      <c r="P517" s="1">
        <v>0</v>
      </c>
      <c r="Q517" s="1">
        <v>0</v>
      </c>
      <c r="R517" s="1">
        <v>0</v>
      </c>
      <c r="S517" s="8" t="str">
        <f t="shared" si="26"/>
        <v>30500008454000100039238</v>
      </c>
      <c r="T517" s="14" t="str">
        <f>IFERROR(VLOOKUP(S517,AFIP!$F$2:$R$999999,12,FALSE),"NO")</f>
        <v>NO</v>
      </c>
      <c r="U517" s="10" t="str">
        <f t="shared" si="24"/>
        <v>NO</v>
      </c>
      <c r="V517" s="10" t="str">
        <f>IFERROR(VLOOKUP(S517,AFIP!$F$2:$R$999999,13,FALSE),"NO")</f>
        <v>NO</v>
      </c>
      <c r="W517" s="1" t="str">
        <f t="shared" si="25"/>
        <v>NO</v>
      </c>
    </row>
    <row r="518" spans="1:23" hidden="1" x14ac:dyDescent="0.25">
      <c r="A518" s="1" t="s">
        <v>131</v>
      </c>
      <c r="B518" s="1" t="s">
        <v>132</v>
      </c>
      <c r="C518" s="1" t="s">
        <v>19</v>
      </c>
      <c r="D518" s="1">
        <v>30708506237</v>
      </c>
      <c r="E518" s="1" t="s">
        <v>20</v>
      </c>
      <c r="F518" s="1" t="s">
        <v>767</v>
      </c>
      <c r="G518" s="1" t="s">
        <v>53</v>
      </c>
      <c r="H518" s="1" t="s">
        <v>54</v>
      </c>
      <c r="I518" s="1" t="s">
        <v>779</v>
      </c>
      <c r="J518" s="2">
        <v>21</v>
      </c>
      <c r="K518" s="12">
        <v>69085.850000000006</v>
      </c>
      <c r="L518" s="2">
        <v>57095.74</v>
      </c>
      <c r="M518" s="2">
        <v>0</v>
      </c>
      <c r="N518" s="12">
        <v>11990.12</v>
      </c>
      <c r="O518" s="1">
        <v>0</v>
      </c>
      <c r="P518" s="1">
        <v>0</v>
      </c>
      <c r="Q518" s="1">
        <v>-0.01</v>
      </c>
      <c r="R518" s="1">
        <v>0</v>
      </c>
      <c r="S518" s="8" t="str">
        <f t="shared" si="26"/>
        <v>30708506237000200066362</v>
      </c>
      <c r="T518" s="14">
        <f>IFERROR(VLOOKUP(S518,AFIP!$F$2:$R$999999,12,FALSE),"NO")</f>
        <v>11990.11</v>
      </c>
      <c r="U518" s="10" t="str">
        <f t="shared" si="24"/>
        <v>NO</v>
      </c>
      <c r="V518" s="10">
        <f>IFERROR(VLOOKUP(S518,AFIP!$F$2:$R$999999,13,FALSE),"NO")</f>
        <v>69085.850000000006</v>
      </c>
      <c r="W518" s="1" t="str">
        <f t="shared" si="25"/>
        <v>SI</v>
      </c>
    </row>
    <row r="519" spans="1:23" hidden="1" x14ac:dyDescent="0.25">
      <c r="A519" s="1" t="s">
        <v>780</v>
      </c>
      <c r="B519" s="1" t="s">
        <v>781</v>
      </c>
      <c r="C519" s="1" t="s">
        <v>19</v>
      </c>
      <c r="D519" s="1">
        <v>30715877399</v>
      </c>
      <c r="E519" s="1" t="s">
        <v>20</v>
      </c>
      <c r="F519" s="1" t="s">
        <v>767</v>
      </c>
      <c r="G519" s="1" t="s">
        <v>53</v>
      </c>
      <c r="H519" s="1" t="s">
        <v>54</v>
      </c>
      <c r="I519" s="1" t="s">
        <v>782</v>
      </c>
      <c r="J519" s="1">
        <v>21</v>
      </c>
      <c r="K519" s="12">
        <v>916726.25</v>
      </c>
      <c r="L519" s="1">
        <v>757625</v>
      </c>
      <c r="M519" s="1">
        <v>0</v>
      </c>
      <c r="N519" s="12">
        <v>159101.25</v>
      </c>
      <c r="O519" s="1">
        <v>0</v>
      </c>
      <c r="P519" s="1">
        <v>0</v>
      </c>
      <c r="Q519" s="1">
        <v>0</v>
      </c>
      <c r="R519" s="1">
        <v>0</v>
      </c>
      <c r="S519" s="8" t="str">
        <f t="shared" si="26"/>
        <v>30715877399000300000063</v>
      </c>
      <c r="T519" s="14">
        <f>IFERROR(VLOOKUP(S519,AFIP!$F$2:$R$999999,12,FALSE),"NO")</f>
        <v>159101.25</v>
      </c>
      <c r="U519" s="10" t="str">
        <f t="shared" si="24"/>
        <v>SI</v>
      </c>
      <c r="V519" s="10">
        <f>IFERROR(VLOOKUP(S519,AFIP!$F$2:$R$999999,13,FALSE),"NO")</f>
        <v>916726.25</v>
      </c>
      <c r="W519" s="1" t="str">
        <f t="shared" si="25"/>
        <v>SI</v>
      </c>
    </row>
    <row r="520" spans="1:23" hidden="1" x14ac:dyDescent="0.25">
      <c r="A520" s="1" t="s">
        <v>783</v>
      </c>
      <c r="B520" s="1" t="s">
        <v>784</v>
      </c>
      <c r="C520" s="1" t="s">
        <v>19</v>
      </c>
      <c r="D520" s="1">
        <v>20373296245</v>
      </c>
      <c r="E520" s="1" t="s">
        <v>20</v>
      </c>
      <c r="F520" s="1" t="s">
        <v>767</v>
      </c>
      <c r="G520" s="1" t="s">
        <v>53</v>
      </c>
      <c r="H520" s="1" t="s">
        <v>54</v>
      </c>
      <c r="I520" s="1" t="s">
        <v>785</v>
      </c>
      <c r="J520" s="1">
        <v>21</v>
      </c>
      <c r="K520" s="12">
        <v>69210.09</v>
      </c>
      <c r="L520" s="1">
        <v>57198.42</v>
      </c>
      <c r="M520" s="1">
        <v>0</v>
      </c>
      <c r="N520" s="12">
        <v>12011.67</v>
      </c>
      <c r="O520" s="1">
        <v>0</v>
      </c>
      <c r="P520" s="1">
        <v>0</v>
      </c>
      <c r="Q520" s="1">
        <v>0</v>
      </c>
      <c r="R520" s="1">
        <v>0</v>
      </c>
      <c r="S520" s="8" t="str">
        <f t="shared" si="26"/>
        <v>20373296245000300001396</v>
      </c>
      <c r="T520" s="14">
        <f>IFERROR(VLOOKUP(S520,AFIP!$F$2:$R$999999,12,FALSE),"NO")</f>
        <v>12011.67</v>
      </c>
      <c r="U520" s="10" t="str">
        <f t="shared" si="24"/>
        <v>SI</v>
      </c>
      <c r="V520" s="10">
        <f>IFERROR(VLOOKUP(S520,AFIP!$F$2:$R$999999,13,FALSE),"NO")</f>
        <v>69210.09</v>
      </c>
      <c r="W520" s="1" t="str">
        <f t="shared" si="25"/>
        <v>SI</v>
      </c>
    </row>
    <row r="521" spans="1:23" x14ac:dyDescent="0.25">
      <c r="A521" s="1" t="s">
        <v>651</v>
      </c>
      <c r="B521" s="1" t="s">
        <v>652</v>
      </c>
      <c r="C521" s="1" t="s">
        <v>19</v>
      </c>
      <c r="D521" s="1">
        <v>27139111589</v>
      </c>
      <c r="E521" s="1" t="s">
        <v>20</v>
      </c>
      <c r="F521" s="1" t="s">
        <v>767</v>
      </c>
      <c r="G521" s="1" t="s">
        <v>53</v>
      </c>
      <c r="H521" s="1" t="s">
        <v>54</v>
      </c>
      <c r="I521" s="1" t="s">
        <v>786</v>
      </c>
      <c r="J521" s="1">
        <v>21</v>
      </c>
      <c r="K521" s="12">
        <v>38500</v>
      </c>
      <c r="L521" s="1">
        <v>31818.18</v>
      </c>
      <c r="M521" s="1">
        <v>0</v>
      </c>
      <c r="N521" s="12">
        <v>6681.82</v>
      </c>
      <c r="O521" s="1">
        <v>0</v>
      </c>
      <c r="P521" s="1">
        <v>0</v>
      </c>
      <c r="Q521" s="1">
        <v>0</v>
      </c>
      <c r="R521" s="1">
        <v>0</v>
      </c>
      <c r="S521" s="8" t="str">
        <f t="shared" si="26"/>
        <v>27139111589000600005737</v>
      </c>
      <c r="T521" s="14" t="str">
        <f>IFERROR(VLOOKUP(S521,AFIP!$F$2:$R$999999,12,FALSE),"NO")</f>
        <v>NO</v>
      </c>
      <c r="U521" s="10" t="str">
        <f t="shared" si="24"/>
        <v>NO</v>
      </c>
      <c r="V521" s="10" t="str">
        <f>IFERROR(VLOOKUP(S521,AFIP!$F$2:$R$999999,13,FALSE),"NO")</f>
        <v>NO</v>
      </c>
      <c r="W521" s="1" t="str">
        <f t="shared" si="25"/>
        <v>NO</v>
      </c>
    </row>
    <row r="522" spans="1:23" hidden="1" x14ac:dyDescent="0.25">
      <c r="A522" s="1" t="s">
        <v>787</v>
      </c>
      <c r="B522" s="1" t="s">
        <v>311</v>
      </c>
      <c r="C522" s="1" t="s">
        <v>19</v>
      </c>
      <c r="D522" s="1">
        <v>20216414897</v>
      </c>
      <c r="E522" s="1" t="s">
        <v>20</v>
      </c>
      <c r="F522" s="1" t="s">
        <v>767</v>
      </c>
      <c r="G522" s="1" t="s">
        <v>53</v>
      </c>
      <c r="H522" s="1" t="s">
        <v>54</v>
      </c>
      <c r="I522" s="1" t="s">
        <v>788</v>
      </c>
      <c r="J522" s="1">
        <v>21</v>
      </c>
      <c r="K522" s="12">
        <v>14719.02</v>
      </c>
      <c r="L522" s="1">
        <v>12164.48</v>
      </c>
      <c r="M522" s="1">
        <v>0</v>
      </c>
      <c r="N522" s="12">
        <v>2554.54</v>
      </c>
      <c r="O522" s="1">
        <v>0</v>
      </c>
      <c r="P522" s="1">
        <v>0</v>
      </c>
      <c r="Q522" s="1">
        <v>0</v>
      </c>
      <c r="R522" s="1">
        <v>0</v>
      </c>
      <c r="S522" s="8" t="str">
        <f t="shared" si="26"/>
        <v>20216414897000900000094</v>
      </c>
      <c r="T522" s="14">
        <f>IFERROR(VLOOKUP(S522,AFIP!$F$2:$R$999999,12,FALSE),"NO")</f>
        <v>2554.54</v>
      </c>
      <c r="U522" s="10" t="str">
        <f t="shared" si="24"/>
        <v>SI</v>
      </c>
      <c r="V522" s="10">
        <f>IFERROR(VLOOKUP(S522,AFIP!$F$2:$R$999999,13,FALSE),"NO")</f>
        <v>67189.02</v>
      </c>
      <c r="W522" s="1" t="str">
        <f t="shared" si="25"/>
        <v>NO</v>
      </c>
    </row>
    <row r="523" spans="1:23" hidden="1" x14ac:dyDescent="0.25">
      <c r="A523" s="1" t="s">
        <v>787</v>
      </c>
      <c r="B523" s="1" t="s">
        <v>311</v>
      </c>
      <c r="C523" s="1" t="s">
        <v>19</v>
      </c>
      <c r="D523" s="1">
        <v>20216414897</v>
      </c>
      <c r="E523" s="1" t="s">
        <v>20</v>
      </c>
      <c r="F523" s="1" t="s">
        <v>767</v>
      </c>
      <c r="G523" s="1" t="s">
        <v>53</v>
      </c>
      <c r="H523" s="1" t="s">
        <v>54</v>
      </c>
      <c r="I523" s="1" t="s">
        <v>788</v>
      </c>
      <c r="J523" s="1">
        <v>0</v>
      </c>
      <c r="K523" s="12">
        <v>52470</v>
      </c>
      <c r="L523" s="1">
        <v>0</v>
      </c>
      <c r="M523" s="1">
        <v>52470</v>
      </c>
      <c r="N523" s="12">
        <v>0</v>
      </c>
      <c r="O523" s="1">
        <v>0</v>
      </c>
      <c r="P523" s="1">
        <v>0</v>
      </c>
      <c r="Q523" s="1">
        <v>0</v>
      </c>
      <c r="R523" s="1">
        <v>0</v>
      </c>
      <c r="S523" s="8" t="str">
        <f t="shared" si="26"/>
        <v>20216414897000900000094</v>
      </c>
      <c r="T523" s="14">
        <f>IFERROR(VLOOKUP(S523,AFIP!$F$2:$R$999999,12,FALSE),"NO")</f>
        <v>2554.54</v>
      </c>
      <c r="U523" s="10" t="str">
        <f t="shared" si="24"/>
        <v>NO</v>
      </c>
      <c r="V523" s="10">
        <f>IFERROR(VLOOKUP(S523,AFIP!$F$2:$R$999999,13,FALSE),"NO")</f>
        <v>67189.02</v>
      </c>
      <c r="W523" s="1" t="str">
        <f t="shared" si="25"/>
        <v>NO</v>
      </c>
    </row>
    <row r="524" spans="1:23" x14ac:dyDescent="0.25">
      <c r="A524" s="1" t="s">
        <v>147</v>
      </c>
      <c r="B524" s="1" t="s">
        <v>745</v>
      </c>
      <c r="C524" s="1" t="s">
        <v>19</v>
      </c>
      <c r="D524" s="1">
        <v>30500010084</v>
      </c>
      <c r="E524" s="1" t="s">
        <v>20</v>
      </c>
      <c r="F524" s="1" t="s">
        <v>767</v>
      </c>
      <c r="G524" s="1" t="s">
        <v>53</v>
      </c>
      <c r="H524" s="1" t="s">
        <v>54</v>
      </c>
      <c r="I524" s="1" t="s">
        <v>789</v>
      </c>
      <c r="J524" s="1">
        <v>21</v>
      </c>
      <c r="K524" s="12">
        <v>163415.54999999999</v>
      </c>
      <c r="L524" s="1">
        <v>135054.17000000001</v>
      </c>
      <c r="M524" s="1">
        <v>0</v>
      </c>
      <c r="N524" s="12">
        <v>28361.38</v>
      </c>
      <c r="O524" s="1">
        <v>0</v>
      </c>
      <c r="P524" s="1">
        <v>0</v>
      </c>
      <c r="Q524" s="1">
        <v>0</v>
      </c>
      <c r="R524" s="1">
        <v>0</v>
      </c>
      <c r="S524" s="8" t="str">
        <f t="shared" si="26"/>
        <v>30500010084001000002025</v>
      </c>
      <c r="T524" s="14" t="str">
        <f>IFERROR(VLOOKUP(S524,AFIP!$F$2:$R$999999,12,FALSE),"NO")</f>
        <v>NO</v>
      </c>
      <c r="U524" s="10" t="str">
        <f t="shared" si="24"/>
        <v>NO</v>
      </c>
      <c r="V524" s="10" t="str">
        <f>IFERROR(VLOOKUP(S524,AFIP!$F$2:$R$999999,13,FALSE),"NO")</f>
        <v>NO</v>
      </c>
      <c r="W524" s="1" t="str">
        <f t="shared" si="25"/>
        <v>NO</v>
      </c>
    </row>
    <row r="525" spans="1:23" x14ac:dyDescent="0.25">
      <c r="A525" s="1" t="s">
        <v>147</v>
      </c>
      <c r="B525" s="1" t="s">
        <v>745</v>
      </c>
      <c r="C525" s="1" t="s">
        <v>19</v>
      </c>
      <c r="D525" s="1">
        <v>30500010084</v>
      </c>
      <c r="E525" s="1" t="s">
        <v>20</v>
      </c>
      <c r="F525" s="1" t="s">
        <v>767</v>
      </c>
      <c r="G525" s="1" t="s">
        <v>53</v>
      </c>
      <c r="H525" s="1" t="s">
        <v>54</v>
      </c>
      <c r="I525" s="1" t="s">
        <v>789</v>
      </c>
      <c r="J525" s="1">
        <v>10.5</v>
      </c>
      <c r="K525" s="12">
        <v>696576.99</v>
      </c>
      <c r="L525" s="1">
        <v>630386.42000000004</v>
      </c>
      <c r="M525" s="1">
        <v>0</v>
      </c>
      <c r="N525" s="12">
        <v>66190.570000000007</v>
      </c>
      <c r="O525" s="1">
        <v>0</v>
      </c>
      <c r="P525" s="1">
        <v>0</v>
      </c>
      <c r="Q525" s="1">
        <v>0</v>
      </c>
      <c r="R525" s="1">
        <v>0</v>
      </c>
      <c r="S525" s="8" t="str">
        <f t="shared" si="26"/>
        <v>30500010084001000002025</v>
      </c>
      <c r="T525" s="14" t="str">
        <f>IFERROR(VLOOKUP(S525,AFIP!$F$2:$R$999999,12,FALSE),"NO")</f>
        <v>NO</v>
      </c>
      <c r="U525" s="10" t="str">
        <f t="shared" si="24"/>
        <v>NO</v>
      </c>
      <c r="V525" s="10" t="str">
        <f>IFERROR(VLOOKUP(S525,AFIP!$F$2:$R$999999,13,FALSE),"NO")</f>
        <v>NO</v>
      </c>
      <c r="W525" s="1" t="str">
        <f t="shared" si="25"/>
        <v>NO</v>
      </c>
    </row>
    <row r="526" spans="1:23" hidden="1" x14ac:dyDescent="0.25">
      <c r="A526" s="1" t="s">
        <v>33</v>
      </c>
      <c r="B526" s="1" t="s">
        <v>34</v>
      </c>
      <c r="C526" s="1" t="s">
        <v>19</v>
      </c>
      <c r="D526" s="1">
        <v>33708336969</v>
      </c>
      <c r="E526" s="1" t="s">
        <v>20</v>
      </c>
      <c r="F526" s="1" t="s">
        <v>767</v>
      </c>
      <c r="G526" s="1" t="s">
        <v>53</v>
      </c>
      <c r="H526" s="1" t="s">
        <v>54</v>
      </c>
      <c r="I526" s="1" t="s">
        <v>790</v>
      </c>
      <c r="J526" s="1">
        <v>21</v>
      </c>
      <c r="K526" s="12">
        <v>1391996.52</v>
      </c>
      <c r="L526" s="1">
        <v>1150410.3500000001</v>
      </c>
      <c r="M526" s="1">
        <v>0</v>
      </c>
      <c r="N526" s="12">
        <v>241586.17</v>
      </c>
      <c r="O526" s="1">
        <v>0</v>
      </c>
      <c r="P526" s="1">
        <v>0</v>
      </c>
      <c r="Q526" s="1">
        <v>0</v>
      </c>
      <c r="R526" s="1">
        <v>0</v>
      </c>
      <c r="S526" s="8" t="str">
        <f t="shared" si="26"/>
        <v>33708336969002700029888</v>
      </c>
      <c r="T526" s="14">
        <f>IFERROR(VLOOKUP(S526,AFIP!$F$2:$R$999999,12,FALSE),"NO")</f>
        <v>241586.17</v>
      </c>
      <c r="U526" s="10" t="str">
        <f t="shared" si="24"/>
        <v>SI</v>
      </c>
      <c r="V526" s="10">
        <f>IFERROR(VLOOKUP(S526,AFIP!$F$2:$R$999999,13,FALSE),"NO")</f>
        <v>1562659.65</v>
      </c>
      <c r="W526" s="1" t="str">
        <f t="shared" si="25"/>
        <v>NO</v>
      </c>
    </row>
    <row r="527" spans="1:23" hidden="1" x14ac:dyDescent="0.25">
      <c r="A527" s="1" t="s">
        <v>33</v>
      </c>
      <c r="B527" s="1" t="s">
        <v>34</v>
      </c>
      <c r="C527" s="1" t="s">
        <v>19</v>
      </c>
      <c r="D527" s="1">
        <v>33708336969</v>
      </c>
      <c r="E527" s="1" t="s">
        <v>20</v>
      </c>
      <c r="F527" s="1" t="s">
        <v>767</v>
      </c>
      <c r="G527" s="1" t="s">
        <v>53</v>
      </c>
      <c r="H527" s="1" t="s">
        <v>54</v>
      </c>
      <c r="I527" s="1" t="s">
        <v>790</v>
      </c>
      <c r="J527" s="1">
        <v>0</v>
      </c>
      <c r="K527" s="12">
        <v>170663.13</v>
      </c>
      <c r="L527" s="1">
        <v>0</v>
      </c>
      <c r="M527" s="1">
        <v>170663.13</v>
      </c>
      <c r="N527" s="12">
        <v>0</v>
      </c>
      <c r="O527" s="1">
        <v>0</v>
      </c>
      <c r="P527" s="1">
        <v>0</v>
      </c>
      <c r="Q527" s="1">
        <v>0</v>
      </c>
      <c r="R527" s="1">
        <v>0</v>
      </c>
      <c r="S527" s="8" t="str">
        <f t="shared" si="26"/>
        <v>33708336969002700029888</v>
      </c>
      <c r="T527" s="14">
        <f>IFERROR(VLOOKUP(S527,AFIP!$F$2:$R$999999,12,FALSE),"NO")</f>
        <v>241586.17</v>
      </c>
      <c r="U527" s="10" t="str">
        <f t="shared" si="24"/>
        <v>NO</v>
      </c>
      <c r="V527" s="10">
        <f>IFERROR(VLOOKUP(S527,AFIP!$F$2:$R$999999,13,FALSE),"NO")</f>
        <v>1562659.65</v>
      </c>
      <c r="W527" s="1" t="str">
        <f t="shared" si="25"/>
        <v>NO</v>
      </c>
    </row>
    <row r="528" spans="1:23" hidden="1" x14ac:dyDescent="0.25">
      <c r="A528" s="1" t="s">
        <v>29</v>
      </c>
      <c r="B528" s="1" t="s">
        <v>30</v>
      </c>
      <c r="C528" s="1" t="s">
        <v>19</v>
      </c>
      <c r="D528" s="1">
        <v>30621181838</v>
      </c>
      <c r="E528" s="1" t="s">
        <v>20</v>
      </c>
      <c r="F528" s="1" t="s">
        <v>767</v>
      </c>
      <c r="G528" s="1" t="s">
        <v>53</v>
      </c>
      <c r="H528" s="1" t="s">
        <v>54</v>
      </c>
      <c r="I528" s="1" t="s">
        <v>791</v>
      </c>
      <c r="J528" s="1">
        <v>21</v>
      </c>
      <c r="K528" s="12">
        <v>113315.19</v>
      </c>
      <c r="L528" s="1">
        <v>93648.92</v>
      </c>
      <c r="M528" s="1">
        <v>0</v>
      </c>
      <c r="N528" s="12">
        <v>19666.27</v>
      </c>
      <c r="O528" s="1">
        <v>0</v>
      </c>
      <c r="P528" s="1">
        <v>0</v>
      </c>
      <c r="Q528" s="1">
        <v>0</v>
      </c>
      <c r="R528" s="1">
        <v>0</v>
      </c>
      <c r="S528" s="8" t="str">
        <f t="shared" si="26"/>
        <v>30621181838003200255228</v>
      </c>
      <c r="T528" s="14">
        <f>IFERROR(VLOOKUP(S528,AFIP!$F$2:$R$999999,12,FALSE),"NO")</f>
        <v>19666.27</v>
      </c>
      <c r="U528" s="10" t="str">
        <f t="shared" si="24"/>
        <v>SI</v>
      </c>
      <c r="V528" s="10">
        <f>IFERROR(VLOOKUP(S528,AFIP!$F$2:$R$999999,13,FALSE),"NO")</f>
        <v>113315.19</v>
      </c>
      <c r="W528" s="1" t="str">
        <f t="shared" si="25"/>
        <v>SI</v>
      </c>
    </row>
    <row r="529" spans="1:23" hidden="1" x14ac:dyDescent="0.25">
      <c r="A529" s="1" t="s">
        <v>29</v>
      </c>
      <c r="B529" s="1" t="s">
        <v>30</v>
      </c>
      <c r="C529" s="1" t="s">
        <v>19</v>
      </c>
      <c r="D529" s="1">
        <v>30621181838</v>
      </c>
      <c r="E529" s="1" t="s">
        <v>20</v>
      </c>
      <c r="F529" s="1" t="s">
        <v>767</v>
      </c>
      <c r="G529" s="1" t="s">
        <v>53</v>
      </c>
      <c r="H529" s="1" t="s">
        <v>54</v>
      </c>
      <c r="I529" s="1" t="s">
        <v>792</v>
      </c>
      <c r="J529" s="1">
        <v>21</v>
      </c>
      <c r="K529" s="12">
        <v>744257.77</v>
      </c>
      <c r="L529" s="1">
        <v>615089.06999999995</v>
      </c>
      <c r="M529" s="1">
        <v>0</v>
      </c>
      <c r="N529" s="12">
        <v>129168.7</v>
      </c>
      <c r="O529" s="1">
        <v>0</v>
      </c>
      <c r="P529" s="1">
        <v>0</v>
      </c>
      <c r="Q529" s="1">
        <v>0</v>
      </c>
      <c r="R529" s="1">
        <v>0</v>
      </c>
      <c r="S529" s="8" t="str">
        <f t="shared" si="26"/>
        <v>30621181838003200255229</v>
      </c>
      <c r="T529" s="14">
        <f>IFERROR(VLOOKUP(S529,AFIP!$F$2:$R$999999,12,FALSE),"NO")</f>
        <v>129168.7</v>
      </c>
      <c r="U529" s="10" t="str">
        <f t="shared" si="24"/>
        <v>SI</v>
      </c>
      <c r="V529" s="10">
        <f>IFERROR(VLOOKUP(S529,AFIP!$F$2:$R$999999,13,FALSE),"NO")</f>
        <v>744257.77</v>
      </c>
      <c r="W529" s="1" t="str">
        <f t="shared" si="25"/>
        <v>SI</v>
      </c>
    </row>
    <row r="530" spans="1:23" hidden="1" x14ac:dyDescent="0.25">
      <c r="A530" s="1" t="s">
        <v>29</v>
      </c>
      <c r="B530" s="1" t="s">
        <v>30</v>
      </c>
      <c r="C530" s="1" t="s">
        <v>19</v>
      </c>
      <c r="D530" s="1">
        <v>30621181838</v>
      </c>
      <c r="E530" s="1" t="s">
        <v>20</v>
      </c>
      <c r="F530" s="1" t="s">
        <v>767</v>
      </c>
      <c r="G530" s="1" t="s">
        <v>53</v>
      </c>
      <c r="H530" s="1" t="s">
        <v>54</v>
      </c>
      <c r="I530" s="1" t="s">
        <v>793</v>
      </c>
      <c r="J530" s="1">
        <v>21</v>
      </c>
      <c r="K530" s="12">
        <v>467807.77</v>
      </c>
      <c r="L530" s="1">
        <v>386617.99</v>
      </c>
      <c r="M530" s="1">
        <v>0</v>
      </c>
      <c r="N530" s="12">
        <v>81189.78</v>
      </c>
      <c r="O530" s="1">
        <v>0</v>
      </c>
      <c r="P530" s="1">
        <v>0</v>
      </c>
      <c r="Q530" s="1">
        <v>0</v>
      </c>
      <c r="R530" s="1">
        <v>0</v>
      </c>
      <c r="S530" s="8" t="str">
        <f t="shared" si="26"/>
        <v>30621181838003200255230</v>
      </c>
      <c r="T530" s="14">
        <f>IFERROR(VLOOKUP(S530,AFIP!$F$2:$R$999999,12,FALSE),"NO")</f>
        <v>81189.78</v>
      </c>
      <c r="U530" s="10" t="str">
        <f t="shared" si="24"/>
        <v>SI</v>
      </c>
      <c r="V530" s="10">
        <f>IFERROR(VLOOKUP(S530,AFIP!$F$2:$R$999999,13,FALSE),"NO")</f>
        <v>467807.77</v>
      </c>
      <c r="W530" s="1" t="str">
        <f t="shared" si="25"/>
        <v>SI</v>
      </c>
    </row>
    <row r="531" spans="1:23" hidden="1" x14ac:dyDescent="0.25">
      <c r="A531" s="1" t="s">
        <v>17</v>
      </c>
      <c r="B531" s="1" t="s">
        <v>18</v>
      </c>
      <c r="C531" s="1" t="s">
        <v>19</v>
      </c>
      <c r="D531" s="1">
        <v>30500529454</v>
      </c>
      <c r="E531" s="1" t="s">
        <v>20</v>
      </c>
      <c r="F531" s="1" t="s">
        <v>767</v>
      </c>
      <c r="G531" s="1" t="s">
        <v>53</v>
      </c>
      <c r="H531" s="1" t="s">
        <v>54</v>
      </c>
      <c r="I531" s="1" t="s">
        <v>794</v>
      </c>
      <c r="J531" s="1">
        <v>21</v>
      </c>
      <c r="K531" s="12">
        <v>2951929.1</v>
      </c>
      <c r="L531" s="1">
        <v>2336274</v>
      </c>
      <c r="M531" s="1">
        <v>0</v>
      </c>
      <c r="N531" s="12">
        <v>490617.53</v>
      </c>
      <c r="O531" s="1">
        <v>68202.31</v>
      </c>
      <c r="P531" s="1">
        <v>56835.26</v>
      </c>
      <c r="Q531" s="1">
        <v>0</v>
      </c>
      <c r="R531" s="1">
        <v>0</v>
      </c>
      <c r="S531" s="8" t="str">
        <f t="shared" si="26"/>
        <v>30500529454026700908790</v>
      </c>
      <c r="T531" s="14">
        <f>IFERROR(VLOOKUP(S531,AFIP!$F$2:$R$999999,12,FALSE),"NO")</f>
        <v>504569.75</v>
      </c>
      <c r="U531" s="10" t="str">
        <f t="shared" si="24"/>
        <v>NO</v>
      </c>
      <c r="V531" s="10">
        <f>IFERROR(VLOOKUP(S531,AFIP!$F$2:$R$999999,13,FALSE),"NO")</f>
        <v>3039432.08</v>
      </c>
      <c r="W531" s="1" t="str">
        <f t="shared" si="25"/>
        <v>NO</v>
      </c>
    </row>
    <row r="532" spans="1:23" hidden="1" x14ac:dyDescent="0.25">
      <c r="A532" s="1" t="s">
        <v>17</v>
      </c>
      <c r="B532" s="1" t="s">
        <v>18</v>
      </c>
      <c r="C532" s="1" t="s">
        <v>19</v>
      </c>
      <c r="D532" s="1">
        <v>30500529454</v>
      </c>
      <c r="E532" s="1" t="s">
        <v>20</v>
      </c>
      <c r="F532" s="1" t="s">
        <v>767</v>
      </c>
      <c r="G532" s="1" t="s">
        <v>53</v>
      </c>
      <c r="H532" s="1" t="s">
        <v>54</v>
      </c>
      <c r="I532" s="1" t="s">
        <v>794</v>
      </c>
      <c r="J532" s="1">
        <v>21</v>
      </c>
      <c r="K532" s="12">
        <v>87502.98</v>
      </c>
      <c r="L532" s="1">
        <v>66439.12</v>
      </c>
      <c r="M532" s="1">
        <v>0</v>
      </c>
      <c r="N532" s="12">
        <v>13952.21</v>
      </c>
      <c r="O532" s="1">
        <v>3879.08</v>
      </c>
      <c r="P532" s="1">
        <v>3232.57</v>
      </c>
      <c r="Q532" s="1">
        <v>0</v>
      </c>
      <c r="R532" s="1">
        <v>0</v>
      </c>
      <c r="S532" s="8" t="str">
        <f t="shared" si="26"/>
        <v>30500529454026700908790</v>
      </c>
      <c r="T532" s="14">
        <f>IFERROR(VLOOKUP(S532,AFIP!$F$2:$R$999999,12,FALSE),"NO")</f>
        <v>504569.75</v>
      </c>
      <c r="U532" s="10" t="str">
        <f t="shared" si="24"/>
        <v>NO</v>
      </c>
      <c r="V532" s="10">
        <f>IFERROR(VLOOKUP(S532,AFIP!$F$2:$R$999999,13,FALSE),"NO")</f>
        <v>3039432.08</v>
      </c>
      <c r="W532" s="1" t="str">
        <f t="shared" si="25"/>
        <v>NO</v>
      </c>
    </row>
    <row r="533" spans="1:23" hidden="1" x14ac:dyDescent="0.25">
      <c r="A533" s="1" t="s">
        <v>17</v>
      </c>
      <c r="B533" s="1" t="s">
        <v>18</v>
      </c>
      <c r="C533" s="1" t="s">
        <v>19</v>
      </c>
      <c r="D533" s="1">
        <v>30500529454</v>
      </c>
      <c r="E533" s="1" t="s">
        <v>20</v>
      </c>
      <c r="F533" s="1" t="s">
        <v>767</v>
      </c>
      <c r="G533" s="1" t="s">
        <v>53</v>
      </c>
      <c r="H533" s="1" t="s">
        <v>54</v>
      </c>
      <c r="I533" s="1" t="s">
        <v>795</v>
      </c>
      <c r="J533" s="1">
        <v>21</v>
      </c>
      <c r="K533" s="12">
        <v>140158958.86000001</v>
      </c>
      <c r="L533" s="1">
        <v>110887893.42</v>
      </c>
      <c r="M533" s="1">
        <v>0</v>
      </c>
      <c r="N533" s="12">
        <v>23286457.68</v>
      </c>
      <c r="O533" s="1">
        <v>3264331.47</v>
      </c>
      <c r="P533" s="1">
        <v>2720276.3</v>
      </c>
      <c r="Q533" s="1">
        <v>-9.9999900000000003E-3</v>
      </c>
      <c r="R533" s="1">
        <v>0</v>
      </c>
      <c r="S533" s="8" t="str">
        <f t="shared" si="26"/>
        <v>30500529454026700908923</v>
      </c>
      <c r="T533" s="14">
        <f>IFERROR(VLOOKUP(S533,AFIP!$F$2:$R$999999,12,FALSE),"NO")</f>
        <v>23690178.079999998</v>
      </c>
      <c r="U533" s="10" t="str">
        <f t="shared" si="24"/>
        <v>NO</v>
      </c>
      <c r="V533" s="10">
        <f>IFERROR(VLOOKUP(S533,AFIP!$F$2:$R$999999,13,FALSE),"NO")</f>
        <v>142705120.69</v>
      </c>
      <c r="W533" s="1" t="str">
        <f t="shared" si="25"/>
        <v>NO</v>
      </c>
    </row>
    <row r="534" spans="1:23" hidden="1" x14ac:dyDescent="0.25">
      <c r="A534" s="1" t="s">
        <v>17</v>
      </c>
      <c r="B534" s="1" t="s">
        <v>18</v>
      </c>
      <c r="C534" s="1" t="s">
        <v>19</v>
      </c>
      <c r="D534" s="1">
        <v>30500529454</v>
      </c>
      <c r="E534" s="1" t="s">
        <v>20</v>
      </c>
      <c r="F534" s="1" t="s">
        <v>767</v>
      </c>
      <c r="G534" s="1" t="s">
        <v>53</v>
      </c>
      <c r="H534" s="1" t="s">
        <v>54</v>
      </c>
      <c r="I534" s="1" t="s">
        <v>795</v>
      </c>
      <c r="J534" s="1">
        <v>21</v>
      </c>
      <c r="K534" s="12">
        <v>2546162.34</v>
      </c>
      <c r="L534" s="1">
        <v>1922479.03</v>
      </c>
      <c r="M534" s="1">
        <v>0</v>
      </c>
      <c r="N534" s="12">
        <v>403720.6</v>
      </c>
      <c r="O534" s="1">
        <v>119979.65</v>
      </c>
      <c r="P534" s="1">
        <v>99983.05</v>
      </c>
      <c r="Q534" s="1">
        <v>0.01</v>
      </c>
      <c r="R534" s="1">
        <v>0</v>
      </c>
      <c r="S534" s="8" t="str">
        <f t="shared" si="26"/>
        <v>30500529454026700908923</v>
      </c>
      <c r="T534" s="14">
        <f>IFERROR(VLOOKUP(S534,AFIP!$F$2:$R$999999,12,FALSE),"NO")</f>
        <v>23690178.079999998</v>
      </c>
      <c r="U534" s="10" t="str">
        <f t="shared" si="24"/>
        <v>NO</v>
      </c>
      <c r="V534" s="10">
        <f>IFERROR(VLOOKUP(S534,AFIP!$F$2:$R$999999,13,FALSE),"NO")</f>
        <v>142705120.69</v>
      </c>
      <c r="W534" s="1" t="str">
        <f t="shared" si="25"/>
        <v>NO</v>
      </c>
    </row>
    <row r="535" spans="1:23" x14ac:dyDescent="0.25">
      <c r="A535" s="1" t="s">
        <v>147</v>
      </c>
      <c r="B535" s="1" t="s">
        <v>745</v>
      </c>
      <c r="C535" s="1" t="s">
        <v>19</v>
      </c>
      <c r="D535" s="1">
        <v>30500010084</v>
      </c>
      <c r="E535" s="1" t="s">
        <v>20</v>
      </c>
      <c r="F535" s="1" t="s">
        <v>767</v>
      </c>
      <c r="G535" s="1" t="s">
        <v>53</v>
      </c>
      <c r="H535" s="1" t="s">
        <v>54</v>
      </c>
      <c r="I535" s="1" t="s">
        <v>796</v>
      </c>
      <c r="J535" s="1">
        <v>21</v>
      </c>
      <c r="K535" s="12">
        <v>829974.74</v>
      </c>
      <c r="L535" s="1">
        <v>685929.54</v>
      </c>
      <c r="M535" s="1">
        <v>0</v>
      </c>
      <c r="N535" s="12">
        <v>144045.20000000001</v>
      </c>
      <c r="O535" s="1">
        <v>0</v>
      </c>
      <c r="P535" s="1">
        <v>0</v>
      </c>
      <c r="Q535" s="1">
        <v>0</v>
      </c>
      <c r="R535" s="1">
        <v>0</v>
      </c>
      <c r="S535" s="8" t="str">
        <f t="shared" si="26"/>
        <v>30500010084063209532371</v>
      </c>
      <c r="T535" s="14" t="str">
        <f>IFERROR(VLOOKUP(S535,AFIP!$F$2:$R$999999,12,FALSE),"NO")</f>
        <v>NO</v>
      </c>
      <c r="U535" s="10" t="str">
        <f t="shared" si="24"/>
        <v>NO</v>
      </c>
      <c r="V535" s="10" t="str">
        <f>IFERROR(VLOOKUP(S535,AFIP!$F$2:$R$999999,13,FALSE),"NO")</f>
        <v>NO</v>
      </c>
      <c r="W535" s="1" t="str">
        <f t="shared" si="25"/>
        <v>NO</v>
      </c>
    </row>
    <row r="536" spans="1:23" x14ac:dyDescent="0.25">
      <c r="A536" s="1" t="s">
        <v>147</v>
      </c>
      <c r="B536" s="1" t="s">
        <v>745</v>
      </c>
      <c r="C536" s="1" t="s">
        <v>19</v>
      </c>
      <c r="D536" s="1">
        <v>30500010084</v>
      </c>
      <c r="E536" s="1" t="s">
        <v>20</v>
      </c>
      <c r="F536" s="1" t="s">
        <v>767</v>
      </c>
      <c r="G536" s="1" t="s">
        <v>53</v>
      </c>
      <c r="H536" s="1" t="s">
        <v>54</v>
      </c>
      <c r="I536" s="1" t="s">
        <v>797</v>
      </c>
      <c r="J536" s="1">
        <v>21</v>
      </c>
      <c r="K536" s="12">
        <v>110150.37</v>
      </c>
      <c r="L536" s="1">
        <v>91033.36</v>
      </c>
      <c r="M536" s="1">
        <v>0</v>
      </c>
      <c r="N536" s="12">
        <v>19117.009999999998</v>
      </c>
      <c r="O536" s="1">
        <v>0</v>
      </c>
      <c r="P536" s="1">
        <v>0</v>
      </c>
      <c r="Q536" s="1">
        <v>0</v>
      </c>
      <c r="R536" s="1">
        <v>0</v>
      </c>
      <c r="S536" s="8" t="str">
        <f t="shared" si="26"/>
        <v>30500010084063209552296</v>
      </c>
      <c r="T536" s="14" t="str">
        <f>IFERROR(VLOOKUP(S536,AFIP!$F$2:$R$999999,12,FALSE),"NO")</f>
        <v>NO</v>
      </c>
      <c r="U536" s="10" t="str">
        <f t="shared" si="24"/>
        <v>NO</v>
      </c>
      <c r="V536" s="10" t="str">
        <f>IFERROR(VLOOKUP(S536,AFIP!$F$2:$R$999999,13,FALSE),"NO")</f>
        <v>NO</v>
      </c>
      <c r="W536" s="1" t="str">
        <f t="shared" si="25"/>
        <v>NO</v>
      </c>
    </row>
    <row r="537" spans="1:23" hidden="1" x14ac:dyDescent="0.25">
      <c r="A537" s="1" t="s">
        <v>798</v>
      </c>
      <c r="B537" s="1" t="s">
        <v>799</v>
      </c>
      <c r="C537" s="1" t="s">
        <v>19</v>
      </c>
      <c r="D537" s="1">
        <v>30716065266</v>
      </c>
      <c r="E537" s="1" t="s">
        <v>20</v>
      </c>
      <c r="F537" s="1" t="s">
        <v>800</v>
      </c>
      <c r="G537" s="1" t="s">
        <v>53</v>
      </c>
      <c r="H537" s="1" t="s">
        <v>54</v>
      </c>
      <c r="I537" s="1" t="s">
        <v>801</v>
      </c>
      <c r="J537" s="1">
        <v>10.5</v>
      </c>
      <c r="K537" s="12">
        <v>699831.86</v>
      </c>
      <c r="L537" s="1">
        <v>633332</v>
      </c>
      <c r="M537" s="1">
        <v>0</v>
      </c>
      <c r="N537" s="12">
        <v>66499.86</v>
      </c>
      <c r="O537" s="1">
        <v>0</v>
      </c>
      <c r="P537" s="1">
        <v>0</v>
      </c>
      <c r="Q537" s="1">
        <v>0</v>
      </c>
      <c r="R537" s="1">
        <v>0</v>
      </c>
      <c r="S537" s="8" t="str">
        <f t="shared" si="26"/>
        <v>30716065266000100000415</v>
      </c>
      <c r="T537" s="14">
        <f>IFERROR(VLOOKUP(S537,AFIP!$F$2:$R$999999,12,FALSE),"NO")</f>
        <v>66499.86</v>
      </c>
      <c r="U537" s="10" t="str">
        <f t="shared" si="24"/>
        <v>SI</v>
      </c>
      <c r="V537" s="10">
        <f>IFERROR(VLOOKUP(S537,AFIP!$F$2:$R$999999,13,FALSE),"NO")</f>
        <v>699831.86</v>
      </c>
      <c r="W537" s="1" t="str">
        <f t="shared" si="25"/>
        <v>SI</v>
      </c>
    </row>
    <row r="538" spans="1:23" hidden="1" x14ac:dyDescent="0.25">
      <c r="A538" s="1" t="s">
        <v>253</v>
      </c>
      <c r="B538" s="1" t="s">
        <v>254</v>
      </c>
      <c r="C538" s="1" t="s">
        <v>19</v>
      </c>
      <c r="D538" s="1">
        <v>20114787206</v>
      </c>
      <c r="E538" s="1" t="s">
        <v>20</v>
      </c>
      <c r="F538" s="1" t="s">
        <v>800</v>
      </c>
      <c r="G538" s="1" t="s">
        <v>53</v>
      </c>
      <c r="H538" s="1" t="s">
        <v>54</v>
      </c>
      <c r="I538" s="1" t="s">
        <v>802</v>
      </c>
      <c r="J538" s="1">
        <v>21</v>
      </c>
      <c r="K538" s="12">
        <v>459800</v>
      </c>
      <c r="L538" s="1">
        <v>380000</v>
      </c>
      <c r="M538" s="1">
        <v>0</v>
      </c>
      <c r="N538" s="12">
        <v>79800</v>
      </c>
      <c r="O538" s="1">
        <v>0</v>
      </c>
      <c r="P538" s="1">
        <v>0</v>
      </c>
      <c r="Q538" s="1">
        <v>0</v>
      </c>
      <c r="R538" s="1">
        <v>0</v>
      </c>
      <c r="S538" s="8" t="str">
        <f t="shared" si="26"/>
        <v>20114787206000200000418</v>
      </c>
      <c r="T538" s="14">
        <f>IFERROR(VLOOKUP(S538,AFIP!$F$2:$R$999999,12,FALSE),"NO")</f>
        <v>79800</v>
      </c>
      <c r="U538" s="10" t="str">
        <f t="shared" si="24"/>
        <v>SI</v>
      </c>
      <c r="V538" s="10">
        <f>IFERROR(VLOOKUP(S538,AFIP!$F$2:$R$999999,13,FALSE),"NO")</f>
        <v>459800</v>
      </c>
      <c r="W538" s="1" t="str">
        <f t="shared" si="25"/>
        <v>SI</v>
      </c>
    </row>
    <row r="539" spans="1:23" hidden="1" x14ac:dyDescent="0.25">
      <c r="A539" s="1" t="s">
        <v>803</v>
      </c>
      <c r="B539" s="1" t="s">
        <v>804</v>
      </c>
      <c r="C539" s="1" t="s">
        <v>19</v>
      </c>
      <c r="D539" s="1">
        <v>30716673320</v>
      </c>
      <c r="E539" s="1" t="s">
        <v>20</v>
      </c>
      <c r="F539" s="1" t="s">
        <v>800</v>
      </c>
      <c r="G539" s="1" t="s">
        <v>53</v>
      </c>
      <c r="H539" s="1" t="s">
        <v>54</v>
      </c>
      <c r="I539" s="1" t="s">
        <v>805</v>
      </c>
      <c r="J539" s="1">
        <v>21</v>
      </c>
      <c r="K539" s="12">
        <v>66714.38</v>
      </c>
      <c r="L539" s="1">
        <v>55135.85</v>
      </c>
      <c r="M539" s="1">
        <v>0</v>
      </c>
      <c r="N539" s="12">
        <v>11578.53</v>
      </c>
      <c r="O539" s="1">
        <v>0</v>
      </c>
      <c r="P539" s="1">
        <v>0</v>
      </c>
      <c r="Q539" s="1">
        <v>0</v>
      </c>
      <c r="R539" s="1">
        <v>0</v>
      </c>
      <c r="S539" s="8" t="str">
        <f t="shared" si="26"/>
        <v>30716673320000200007329</v>
      </c>
      <c r="T539" s="14">
        <f>IFERROR(VLOOKUP(S539,AFIP!$F$2:$R$999999,12,FALSE),"NO")</f>
        <v>11578.53</v>
      </c>
      <c r="U539" s="10" t="str">
        <f t="shared" si="24"/>
        <v>SI</v>
      </c>
      <c r="V539" s="10">
        <f>IFERROR(VLOOKUP(S539,AFIP!$F$2:$R$999999,13,FALSE),"NO")</f>
        <v>66714.38</v>
      </c>
      <c r="W539" s="1" t="str">
        <f t="shared" si="25"/>
        <v>SI</v>
      </c>
    </row>
    <row r="540" spans="1:23" hidden="1" x14ac:dyDescent="0.25">
      <c r="A540" s="1" t="s">
        <v>488</v>
      </c>
      <c r="B540" s="1" t="s">
        <v>489</v>
      </c>
      <c r="C540" s="1" t="s">
        <v>19</v>
      </c>
      <c r="D540" s="1">
        <v>27171610163</v>
      </c>
      <c r="E540" s="1" t="s">
        <v>20</v>
      </c>
      <c r="F540" s="1" t="s">
        <v>800</v>
      </c>
      <c r="G540" s="1" t="s">
        <v>53</v>
      </c>
      <c r="H540" s="1" t="s">
        <v>54</v>
      </c>
      <c r="I540" s="1" t="s">
        <v>806</v>
      </c>
      <c r="J540" s="1">
        <v>21</v>
      </c>
      <c r="K540" s="12">
        <v>2200</v>
      </c>
      <c r="L540" s="1">
        <v>1818.18</v>
      </c>
      <c r="M540" s="1">
        <v>0</v>
      </c>
      <c r="N540" s="12">
        <v>381.82</v>
      </c>
      <c r="O540" s="1">
        <v>0</v>
      </c>
      <c r="P540" s="1">
        <v>0</v>
      </c>
      <c r="Q540" s="1">
        <v>0</v>
      </c>
      <c r="R540" s="1">
        <v>0</v>
      </c>
      <c r="S540" s="8" t="str">
        <f t="shared" si="26"/>
        <v>27171610163000500001736</v>
      </c>
      <c r="T540" s="14">
        <f>IFERROR(VLOOKUP(S540,AFIP!$F$2:$R$999999,12,FALSE),"NO")</f>
        <v>381.82</v>
      </c>
      <c r="U540" s="10" t="str">
        <f t="shared" si="24"/>
        <v>SI</v>
      </c>
      <c r="V540" s="10">
        <f>IFERROR(VLOOKUP(S540,AFIP!$F$2:$R$999999,13,FALSE),"NO")</f>
        <v>2200</v>
      </c>
      <c r="W540" s="1" t="str">
        <f t="shared" si="25"/>
        <v>SI</v>
      </c>
    </row>
    <row r="541" spans="1:23" x14ac:dyDescent="0.25">
      <c r="A541" s="1" t="s">
        <v>807</v>
      </c>
      <c r="B541" s="1" t="s">
        <v>808</v>
      </c>
      <c r="C541" s="1" t="s">
        <v>19</v>
      </c>
      <c r="D541" s="1">
        <v>30714587753</v>
      </c>
      <c r="E541" s="1" t="s">
        <v>20</v>
      </c>
      <c r="F541" s="1" t="s">
        <v>800</v>
      </c>
      <c r="G541" s="1" t="s">
        <v>53</v>
      </c>
      <c r="H541" s="1" t="s">
        <v>54</v>
      </c>
      <c r="I541" s="1" t="s">
        <v>809</v>
      </c>
      <c r="J541" s="1">
        <v>21</v>
      </c>
      <c r="K541" s="12">
        <v>99540.01</v>
      </c>
      <c r="L541" s="1">
        <v>82264.47</v>
      </c>
      <c r="M541" s="1">
        <v>0</v>
      </c>
      <c r="N541" s="12">
        <v>17275.54</v>
      </c>
      <c r="O541" s="1">
        <v>0</v>
      </c>
      <c r="P541" s="1">
        <v>0</v>
      </c>
      <c r="Q541" s="1">
        <v>0</v>
      </c>
      <c r="R541" s="1">
        <v>0</v>
      </c>
      <c r="S541" s="8" t="str">
        <f t="shared" si="26"/>
        <v>30714587753000500003488</v>
      </c>
      <c r="T541" s="14" t="str">
        <f>IFERROR(VLOOKUP(S541,AFIP!$F$2:$R$999999,12,FALSE),"NO")</f>
        <v>NO</v>
      </c>
      <c r="U541" s="10" t="str">
        <f t="shared" si="24"/>
        <v>NO</v>
      </c>
      <c r="V541" s="10" t="str">
        <f>IFERROR(VLOOKUP(S541,AFIP!$F$2:$R$999999,13,FALSE),"NO")</f>
        <v>NO</v>
      </c>
      <c r="W541" s="1" t="str">
        <f t="shared" si="25"/>
        <v>NO</v>
      </c>
    </row>
    <row r="542" spans="1:23" hidden="1" x14ac:dyDescent="0.25">
      <c r="A542" s="1" t="s">
        <v>27</v>
      </c>
      <c r="B542" s="1" t="s">
        <v>28</v>
      </c>
      <c r="C542" s="1" t="s">
        <v>19</v>
      </c>
      <c r="D542" s="1">
        <v>30501044551</v>
      </c>
      <c r="E542" s="1" t="s">
        <v>20</v>
      </c>
      <c r="F542" s="1" t="s">
        <v>800</v>
      </c>
      <c r="G542" s="1" t="s">
        <v>53</v>
      </c>
      <c r="H542" s="1" t="s">
        <v>54</v>
      </c>
      <c r="I542" s="1" t="s">
        <v>810</v>
      </c>
      <c r="J542" s="1">
        <v>21</v>
      </c>
      <c r="K542" s="12">
        <v>29635456.690000001</v>
      </c>
      <c r="L542" s="1">
        <v>23427238.469999999</v>
      </c>
      <c r="M542" s="1">
        <v>0</v>
      </c>
      <c r="N542" s="12">
        <v>4919720.12</v>
      </c>
      <c r="O542" s="1">
        <v>702817.1</v>
      </c>
      <c r="P542" s="1">
        <v>585681.01</v>
      </c>
      <c r="Q542" s="1">
        <v>-0.01</v>
      </c>
      <c r="R542" s="1">
        <v>0</v>
      </c>
      <c r="S542" s="8" t="str">
        <f t="shared" si="26"/>
        <v>30501044551000700567976</v>
      </c>
      <c r="T542" s="14">
        <f>IFERROR(VLOOKUP(S542,AFIP!$F$2:$R$999999,12,FALSE),"NO")</f>
        <v>4919720.12</v>
      </c>
      <c r="U542" s="10" t="str">
        <f t="shared" si="24"/>
        <v>SI</v>
      </c>
      <c r="V542" s="10">
        <f>IFERROR(VLOOKUP(S542,AFIP!$F$2:$R$999999,13,FALSE),"NO")</f>
        <v>29635456.699999999</v>
      </c>
      <c r="W542" s="1" t="str">
        <f t="shared" si="25"/>
        <v>NO</v>
      </c>
    </row>
    <row r="543" spans="1:23" hidden="1" x14ac:dyDescent="0.25">
      <c r="A543" s="1" t="s">
        <v>27</v>
      </c>
      <c r="B543" s="1" t="s">
        <v>28</v>
      </c>
      <c r="C543" s="1" t="s">
        <v>19</v>
      </c>
      <c r="D543" s="1">
        <v>30501044551</v>
      </c>
      <c r="E543" s="1" t="s">
        <v>20</v>
      </c>
      <c r="F543" s="1" t="s">
        <v>800</v>
      </c>
      <c r="G543" s="1" t="s">
        <v>53</v>
      </c>
      <c r="H543" s="1" t="s">
        <v>54</v>
      </c>
      <c r="I543" s="1" t="s">
        <v>811</v>
      </c>
      <c r="J543" s="1">
        <v>21</v>
      </c>
      <c r="K543" s="12">
        <v>42029.51</v>
      </c>
      <c r="L543" s="1">
        <v>33224.910000000003</v>
      </c>
      <c r="M543" s="1">
        <v>0</v>
      </c>
      <c r="N543" s="12">
        <v>6977.23</v>
      </c>
      <c r="O543" s="1">
        <v>996.75</v>
      </c>
      <c r="P543" s="1">
        <v>830.62</v>
      </c>
      <c r="Q543" s="1">
        <v>0</v>
      </c>
      <c r="R543" s="1">
        <v>0</v>
      </c>
      <c r="S543" s="8" t="str">
        <f t="shared" si="26"/>
        <v>30501044551000700568004</v>
      </c>
      <c r="T543" s="14">
        <f>IFERROR(VLOOKUP(S543,AFIP!$F$2:$R$999999,12,FALSE),"NO")</f>
        <v>6977.23</v>
      </c>
      <c r="U543" s="10" t="str">
        <f t="shared" si="24"/>
        <v>SI</v>
      </c>
      <c r="V543" s="10">
        <f>IFERROR(VLOOKUP(S543,AFIP!$F$2:$R$999999,13,FALSE),"NO")</f>
        <v>42029.51</v>
      </c>
      <c r="W543" s="1" t="str">
        <f t="shared" si="25"/>
        <v>SI</v>
      </c>
    </row>
    <row r="544" spans="1:23" x14ac:dyDescent="0.25">
      <c r="A544" s="1" t="s">
        <v>123</v>
      </c>
      <c r="B544" s="1" t="s">
        <v>124</v>
      </c>
      <c r="C544" s="1" t="s">
        <v>19</v>
      </c>
      <c r="D544" s="1">
        <v>30999027489</v>
      </c>
      <c r="E544" s="1" t="s">
        <v>20</v>
      </c>
      <c r="F544" s="1" t="s">
        <v>800</v>
      </c>
      <c r="G544" s="1" t="s">
        <v>53</v>
      </c>
      <c r="H544" s="1" t="s">
        <v>54</v>
      </c>
      <c r="I544" s="1" t="s">
        <v>1181</v>
      </c>
      <c r="J544" s="1">
        <v>27</v>
      </c>
      <c r="K544" s="12">
        <v>225374.77</v>
      </c>
      <c r="L544" s="1">
        <v>177460.45</v>
      </c>
      <c r="M544" s="1">
        <v>0</v>
      </c>
      <c r="N544" s="12">
        <v>47914.32</v>
      </c>
      <c r="O544" s="1">
        <v>0</v>
      </c>
      <c r="P544" s="1">
        <v>0</v>
      </c>
      <c r="Q544" s="1">
        <v>0</v>
      </c>
      <c r="R544" s="1">
        <v>0</v>
      </c>
      <c r="S544" s="8" t="str">
        <f t="shared" si="26"/>
        <v>30999027489000700574133</v>
      </c>
      <c r="T544" s="14" t="str">
        <f>IFERROR(VLOOKUP(S544,AFIP!$F$2:$R$999999,12,FALSE),"NO")</f>
        <v>NO</v>
      </c>
      <c r="U544" s="10" t="str">
        <f t="shared" si="24"/>
        <v>NO</v>
      </c>
      <c r="V544" s="10" t="str">
        <f>IFERROR(VLOOKUP(S544,AFIP!$F$2:$R$999999,13,FALSE),"NO")</f>
        <v>NO</v>
      </c>
      <c r="W544" s="1" t="str">
        <f t="shared" si="25"/>
        <v>NO</v>
      </c>
    </row>
    <row r="545" spans="1:23" x14ac:dyDescent="0.25">
      <c r="A545" s="1" t="s">
        <v>123</v>
      </c>
      <c r="B545" s="1" t="s">
        <v>124</v>
      </c>
      <c r="C545" s="1" t="s">
        <v>19</v>
      </c>
      <c r="D545" s="1">
        <v>30999027489</v>
      </c>
      <c r="E545" s="1" t="s">
        <v>20</v>
      </c>
      <c r="F545" s="1" t="s">
        <v>800</v>
      </c>
      <c r="G545" s="1" t="s">
        <v>53</v>
      </c>
      <c r="H545" s="1" t="s">
        <v>54</v>
      </c>
      <c r="I545" s="1" t="s">
        <v>1181</v>
      </c>
      <c r="J545" s="1">
        <v>0</v>
      </c>
      <c r="K545" s="12">
        <v>66805.03</v>
      </c>
      <c r="L545" s="1">
        <v>0</v>
      </c>
      <c r="M545" s="1">
        <v>66805.03</v>
      </c>
      <c r="N545" s="12">
        <v>0</v>
      </c>
      <c r="O545" s="1">
        <v>0</v>
      </c>
      <c r="P545" s="1">
        <v>0</v>
      </c>
      <c r="Q545" s="1">
        <v>0</v>
      </c>
      <c r="R545" s="1">
        <v>0</v>
      </c>
      <c r="S545" s="8" t="str">
        <f t="shared" si="26"/>
        <v>30999027489000700574133</v>
      </c>
      <c r="T545" s="14" t="str">
        <f>IFERROR(VLOOKUP(S545,AFIP!$F$2:$R$999999,12,FALSE),"NO")</f>
        <v>NO</v>
      </c>
      <c r="U545" s="10" t="str">
        <f t="shared" si="24"/>
        <v>NO</v>
      </c>
      <c r="V545" s="10" t="str">
        <f>IFERROR(VLOOKUP(S545,AFIP!$F$2:$R$999999,13,FALSE),"NO")</f>
        <v>NO</v>
      </c>
      <c r="W545" s="1" t="str">
        <f t="shared" si="25"/>
        <v>NO</v>
      </c>
    </row>
    <row r="546" spans="1:23" x14ac:dyDescent="0.25">
      <c r="A546" s="1" t="s">
        <v>123</v>
      </c>
      <c r="B546" s="1" t="s">
        <v>124</v>
      </c>
      <c r="C546" s="1" t="s">
        <v>19</v>
      </c>
      <c r="D546" s="1">
        <v>30999027489</v>
      </c>
      <c r="E546" s="1" t="s">
        <v>20</v>
      </c>
      <c r="F546" s="1" t="s">
        <v>800</v>
      </c>
      <c r="G546" s="1" t="s">
        <v>53</v>
      </c>
      <c r="H546" s="1" t="s">
        <v>54</v>
      </c>
      <c r="I546" s="1" t="s">
        <v>1182</v>
      </c>
      <c r="J546" s="1">
        <v>27</v>
      </c>
      <c r="K546" s="12">
        <v>219810.57</v>
      </c>
      <c r="L546" s="1">
        <v>173079.19</v>
      </c>
      <c r="M546" s="1">
        <v>0</v>
      </c>
      <c r="N546" s="12">
        <v>46731.38</v>
      </c>
      <c r="O546" s="1">
        <v>0</v>
      </c>
      <c r="P546" s="1">
        <v>0</v>
      </c>
      <c r="Q546" s="1">
        <v>0</v>
      </c>
      <c r="R546" s="1">
        <v>0</v>
      </c>
      <c r="S546" s="8" t="str">
        <f t="shared" si="26"/>
        <v>30999027489000700585198</v>
      </c>
      <c r="T546" s="14" t="str">
        <f>IFERROR(VLOOKUP(S546,AFIP!$F$2:$R$999999,12,FALSE),"NO")</f>
        <v>NO</v>
      </c>
      <c r="U546" s="10" t="str">
        <f t="shared" si="24"/>
        <v>NO</v>
      </c>
      <c r="V546" s="10" t="str">
        <f>IFERROR(VLOOKUP(S546,AFIP!$F$2:$R$999999,13,FALSE),"NO")</f>
        <v>NO</v>
      </c>
      <c r="W546" s="1" t="str">
        <f t="shared" si="25"/>
        <v>NO</v>
      </c>
    </row>
    <row r="547" spans="1:23" x14ac:dyDescent="0.25">
      <c r="A547" s="1" t="s">
        <v>123</v>
      </c>
      <c r="B547" s="1" t="s">
        <v>124</v>
      </c>
      <c r="C547" s="1" t="s">
        <v>19</v>
      </c>
      <c r="D547" s="1">
        <v>30999027489</v>
      </c>
      <c r="E547" s="1" t="s">
        <v>20</v>
      </c>
      <c r="F547" s="1" t="s">
        <v>800</v>
      </c>
      <c r="G547" s="1" t="s">
        <v>53</v>
      </c>
      <c r="H547" s="1" t="s">
        <v>54</v>
      </c>
      <c r="I547" s="1" t="s">
        <v>1182</v>
      </c>
      <c r="J547" s="1">
        <v>0</v>
      </c>
      <c r="K547" s="12">
        <v>65155.63</v>
      </c>
      <c r="L547" s="1">
        <v>0</v>
      </c>
      <c r="M547" s="1">
        <v>65155.63</v>
      </c>
      <c r="N547" s="12">
        <v>0</v>
      </c>
      <c r="O547" s="1">
        <v>0</v>
      </c>
      <c r="P547" s="1">
        <v>0</v>
      </c>
      <c r="Q547" s="1">
        <v>0</v>
      </c>
      <c r="R547" s="1">
        <v>0</v>
      </c>
      <c r="S547" s="8" t="str">
        <f t="shared" si="26"/>
        <v>30999027489000700585198</v>
      </c>
      <c r="T547" s="14" t="str">
        <f>IFERROR(VLOOKUP(S547,AFIP!$F$2:$R$999999,12,FALSE),"NO")</f>
        <v>NO</v>
      </c>
      <c r="U547" s="10" t="str">
        <f t="shared" si="24"/>
        <v>NO</v>
      </c>
      <c r="V547" s="10" t="str">
        <f>IFERROR(VLOOKUP(S547,AFIP!$F$2:$R$999999,13,FALSE),"NO")</f>
        <v>NO</v>
      </c>
      <c r="W547" s="1" t="str">
        <f t="shared" si="25"/>
        <v>NO</v>
      </c>
    </row>
    <row r="548" spans="1:23" hidden="1" x14ac:dyDescent="0.25">
      <c r="A548" s="1" t="s">
        <v>299</v>
      </c>
      <c r="B548" s="1" t="s">
        <v>300</v>
      </c>
      <c r="C548" s="1" t="s">
        <v>19</v>
      </c>
      <c r="D548" s="1">
        <v>30663045179</v>
      </c>
      <c r="E548" s="1" t="s">
        <v>20</v>
      </c>
      <c r="F548" s="1" t="s">
        <v>800</v>
      </c>
      <c r="G548" s="1" t="s">
        <v>53</v>
      </c>
      <c r="H548" s="1" t="s">
        <v>54</v>
      </c>
      <c r="I548" s="1" t="s">
        <v>812</v>
      </c>
      <c r="J548" s="1">
        <v>21</v>
      </c>
      <c r="K548" s="12">
        <v>306575.2</v>
      </c>
      <c r="L548" s="1">
        <v>253367.93</v>
      </c>
      <c r="M548" s="1">
        <v>0</v>
      </c>
      <c r="N548" s="12">
        <v>53207.27</v>
      </c>
      <c r="O548" s="1">
        <v>0</v>
      </c>
      <c r="P548" s="1">
        <v>0</v>
      </c>
      <c r="Q548" s="1">
        <v>0</v>
      </c>
      <c r="R548" s="1">
        <v>0</v>
      </c>
      <c r="S548" s="8" t="str">
        <f t="shared" si="26"/>
        <v>30663045179000700913458</v>
      </c>
      <c r="T548" s="14">
        <f>IFERROR(VLOOKUP(S548,AFIP!$F$2:$R$999999,12,FALSE),"NO")</f>
        <v>53207.27</v>
      </c>
      <c r="U548" s="10" t="str">
        <f t="shared" si="24"/>
        <v>SI</v>
      </c>
      <c r="V548" s="10">
        <f>IFERROR(VLOOKUP(S548,AFIP!$F$2:$R$999999,13,FALSE),"NO")</f>
        <v>306575.2</v>
      </c>
      <c r="W548" s="1" t="str">
        <f t="shared" si="25"/>
        <v>SI</v>
      </c>
    </row>
    <row r="549" spans="1:23" hidden="1" x14ac:dyDescent="0.25">
      <c r="A549" s="1" t="s">
        <v>813</v>
      </c>
      <c r="B549" s="1" t="s">
        <v>814</v>
      </c>
      <c r="C549" s="1" t="s">
        <v>19</v>
      </c>
      <c r="D549" s="1">
        <v>20314735758</v>
      </c>
      <c r="E549" s="1" t="s">
        <v>20</v>
      </c>
      <c r="F549" s="1" t="s">
        <v>800</v>
      </c>
      <c r="G549" s="1" t="s">
        <v>53</v>
      </c>
      <c r="H549" s="1" t="s">
        <v>54</v>
      </c>
      <c r="I549" s="1" t="s">
        <v>815</v>
      </c>
      <c r="J549" s="1">
        <v>21</v>
      </c>
      <c r="K549" s="12">
        <v>629151.6</v>
      </c>
      <c r="L549" s="1">
        <v>519960</v>
      </c>
      <c r="M549" s="1">
        <v>0</v>
      </c>
      <c r="N549" s="12">
        <v>109191.6</v>
      </c>
      <c r="O549" s="1">
        <v>0</v>
      </c>
      <c r="P549" s="1">
        <v>0</v>
      </c>
      <c r="Q549" s="1">
        <v>0</v>
      </c>
      <c r="R549" s="1">
        <v>0</v>
      </c>
      <c r="S549" s="8" t="str">
        <f t="shared" si="26"/>
        <v>20314735758000800000056</v>
      </c>
      <c r="T549" s="14">
        <f>IFERROR(VLOOKUP(S549,AFIP!$F$2:$R$999999,12,FALSE),"NO")</f>
        <v>109191.6</v>
      </c>
      <c r="U549" s="10" t="str">
        <f t="shared" si="24"/>
        <v>SI</v>
      </c>
      <c r="V549" s="10">
        <f>IFERROR(VLOOKUP(S549,AFIP!$F$2:$R$999999,13,FALSE),"NO")</f>
        <v>629151.6</v>
      </c>
      <c r="W549" s="1" t="str">
        <f t="shared" si="25"/>
        <v>SI</v>
      </c>
    </row>
    <row r="550" spans="1:23" hidden="1" x14ac:dyDescent="0.25">
      <c r="A550" s="1" t="s">
        <v>91</v>
      </c>
      <c r="B550" s="1" t="s">
        <v>92</v>
      </c>
      <c r="C550" s="1" t="s">
        <v>19</v>
      </c>
      <c r="D550" s="1">
        <v>30601652044</v>
      </c>
      <c r="E550" s="1" t="s">
        <v>20</v>
      </c>
      <c r="F550" s="1" t="s">
        <v>800</v>
      </c>
      <c r="G550" s="1" t="s">
        <v>53</v>
      </c>
      <c r="H550" s="1" t="s">
        <v>54</v>
      </c>
      <c r="I550" s="1" t="s">
        <v>816</v>
      </c>
      <c r="J550" s="1">
        <v>21</v>
      </c>
      <c r="K550" s="12">
        <v>18684.88</v>
      </c>
      <c r="L550" s="1">
        <v>15442.05</v>
      </c>
      <c r="M550" s="1">
        <v>0</v>
      </c>
      <c r="N550" s="12">
        <v>3242.83</v>
      </c>
      <c r="O550" s="1">
        <v>0</v>
      </c>
      <c r="P550" s="1">
        <v>0</v>
      </c>
      <c r="Q550" s="1">
        <v>0</v>
      </c>
      <c r="R550" s="1">
        <v>0</v>
      </c>
      <c r="S550" s="8" t="str">
        <f t="shared" si="26"/>
        <v>30601652044001800009457</v>
      </c>
      <c r="T550" s="14">
        <f>IFERROR(VLOOKUP(S550,AFIP!$F$2:$R$999999,12,FALSE),"NO")</f>
        <v>3242.83</v>
      </c>
      <c r="U550" s="10" t="str">
        <f t="shared" si="24"/>
        <v>SI</v>
      </c>
      <c r="V550" s="10">
        <f>IFERROR(VLOOKUP(S550,AFIP!$F$2:$R$999999,13,FALSE),"NO")</f>
        <v>18684.88</v>
      </c>
      <c r="W550" s="1" t="str">
        <f t="shared" si="25"/>
        <v>SI</v>
      </c>
    </row>
    <row r="551" spans="1:23" hidden="1" x14ac:dyDescent="0.25">
      <c r="A551" s="1" t="s">
        <v>284</v>
      </c>
      <c r="B551" s="1" t="s">
        <v>285</v>
      </c>
      <c r="C551" s="1" t="s">
        <v>19</v>
      </c>
      <c r="D551" s="1">
        <v>20306152530</v>
      </c>
      <c r="E551" s="1" t="s">
        <v>63</v>
      </c>
      <c r="F551" s="1" t="s">
        <v>800</v>
      </c>
      <c r="G551" s="1" t="s">
        <v>53</v>
      </c>
      <c r="H551" s="1" t="s">
        <v>59</v>
      </c>
      <c r="I551" s="1" t="s">
        <v>817</v>
      </c>
      <c r="J551" s="1">
        <v>0</v>
      </c>
      <c r="K551" s="12">
        <v>2850330</v>
      </c>
      <c r="L551" s="1">
        <v>0</v>
      </c>
      <c r="M551" s="1">
        <v>2850330</v>
      </c>
      <c r="N551" s="12">
        <v>0</v>
      </c>
      <c r="O551" s="1">
        <v>0</v>
      </c>
      <c r="P551" s="1">
        <v>0</v>
      </c>
      <c r="Q551" s="1">
        <v>0</v>
      </c>
      <c r="R551" s="1">
        <v>0</v>
      </c>
      <c r="S551" s="8" t="str">
        <f t="shared" si="26"/>
        <v>20306152530000100000094</v>
      </c>
      <c r="T551" s="14">
        <f>IFERROR(VLOOKUP(S551,AFIP!$F$2:$R$999999,12,FALSE),"NO")</f>
        <v>0</v>
      </c>
      <c r="U551" s="10" t="str">
        <f t="shared" si="24"/>
        <v>SI</v>
      </c>
      <c r="V551" s="10">
        <f>IFERROR(VLOOKUP(S551,AFIP!$F$2:$R$999999,13,FALSE),"NO")</f>
        <v>2850330</v>
      </c>
      <c r="W551" s="1" t="str">
        <f t="shared" si="25"/>
        <v>SI</v>
      </c>
    </row>
    <row r="552" spans="1:23" hidden="1" x14ac:dyDescent="0.25">
      <c r="A552" s="1" t="s">
        <v>290</v>
      </c>
      <c r="B552" s="1" t="s">
        <v>291</v>
      </c>
      <c r="C552" s="1" t="s">
        <v>19</v>
      </c>
      <c r="D552" s="1">
        <v>20372825074</v>
      </c>
      <c r="E552" s="1" t="s">
        <v>63</v>
      </c>
      <c r="F552" s="1" t="s">
        <v>800</v>
      </c>
      <c r="G552" s="1" t="s">
        <v>53</v>
      </c>
      <c r="H552" s="1" t="s">
        <v>59</v>
      </c>
      <c r="I552" s="1" t="s">
        <v>818</v>
      </c>
      <c r="J552" s="1">
        <v>0</v>
      </c>
      <c r="K552" s="12">
        <v>40000</v>
      </c>
      <c r="L552" s="1">
        <v>0</v>
      </c>
      <c r="M552" s="1">
        <v>40000</v>
      </c>
      <c r="N552" s="12">
        <v>0</v>
      </c>
      <c r="O552" s="1">
        <v>0</v>
      </c>
      <c r="P552" s="1">
        <v>0</v>
      </c>
      <c r="Q552" s="1">
        <v>0</v>
      </c>
      <c r="R552" s="1">
        <v>0</v>
      </c>
      <c r="S552" s="8" t="str">
        <f t="shared" si="26"/>
        <v>20372825074000100000432</v>
      </c>
      <c r="T552" s="14">
        <f>IFERROR(VLOOKUP(S552,AFIP!$F$2:$R$999999,12,FALSE),"NO")</f>
        <v>0</v>
      </c>
      <c r="U552" s="10" t="str">
        <f t="shared" si="24"/>
        <v>SI</v>
      </c>
      <c r="V552" s="10">
        <f>IFERROR(VLOOKUP(S552,AFIP!$F$2:$R$999999,13,FALSE),"NO")</f>
        <v>40000</v>
      </c>
      <c r="W552" s="1" t="str">
        <f t="shared" si="25"/>
        <v>SI</v>
      </c>
    </row>
    <row r="553" spans="1:23" hidden="1" x14ac:dyDescent="0.25">
      <c r="A553" s="1" t="s">
        <v>819</v>
      </c>
      <c r="B553" s="1" t="s">
        <v>820</v>
      </c>
      <c r="C553" s="1" t="s">
        <v>19</v>
      </c>
      <c r="D553" s="1">
        <v>27368774125</v>
      </c>
      <c r="E553" s="1" t="s">
        <v>63</v>
      </c>
      <c r="F553" s="1" t="s">
        <v>800</v>
      </c>
      <c r="G553" s="1" t="s">
        <v>53</v>
      </c>
      <c r="H553" s="1" t="s">
        <v>59</v>
      </c>
      <c r="I553" s="1" t="s">
        <v>821</v>
      </c>
      <c r="J553" s="1">
        <v>0</v>
      </c>
      <c r="K553" s="12">
        <v>450000</v>
      </c>
      <c r="L553" s="1">
        <v>0</v>
      </c>
      <c r="M553" s="1">
        <v>450000</v>
      </c>
      <c r="N553" s="12">
        <v>0</v>
      </c>
      <c r="O553" s="1">
        <v>0</v>
      </c>
      <c r="P553" s="1">
        <v>0</v>
      </c>
      <c r="Q553" s="1">
        <v>0</v>
      </c>
      <c r="R553" s="1">
        <v>0</v>
      </c>
      <c r="S553" s="8" t="str">
        <f t="shared" si="26"/>
        <v>27368774125000200000094</v>
      </c>
      <c r="T553" s="14">
        <f>IFERROR(VLOOKUP(S553,AFIP!$F$2:$R$999999,12,FALSE),"NO")</f>
        <v>0</v>
      </c>
      <c r="U553" s="10" t="str">
        <f t="shared" si="24"/>
        <v>SI</v>
      </c>
      <c r="V553" s="10">
        <f>IFERROR(VLOOKUP(S553,AFIP!$F$2:$R$999999,13,FALSE),"NO")</f>
        <v>450000</v>
      </c>
      <c r="W553" s="1" t="str">
        <f t="shared" si="25"/>
        <v>SI</v>
      </c>
    </row>
    <row r="554" spans="1:23" hidden="1" x14ac:dyDescent="0.25">
      <c r="A554" s="1" t="s">
        <v>276</v>
      </c>
      <c r="B554" s="1" t="s">
        <v>277</v>
      </c>
      <c r="C554" s="1" t="s">
        <v>19</v>
      </c>
      <c r="D554" s="1">
        <v>20313376045</v>
      </c>
      <c r="E554" s="1" t="s">
        <v>20</v>
      </c>
      <c r="F554" s="1" t="s">
        <v>822</v>
      </c>
      <c r="G554" s="1" t="s">
        <v>53</v>
      </c>
      <c r="H554" s="1" t="s">
        <v>54</v>
      </c>
      <c r="I554" s="1" t="s">
        <v>1183</v>
      </c>
      <c r="J554" s="1">
        <v>21</v>
      </c>
      <c r="K554" s="12">
        <v>350900</v>
      </c>
      <c r="L554" s="1">
        <v>290000</v>
      </c>
      <c r="M554" s="1">
        <v>0</v>
      </c>
      <c r="N554" s="12">
        <v>60900</v>
      </c>
      <c r="O554" s="1">
        <v>0</v>
      </c>
      <c r="P554" s="1">
        <v>0</v>
      </c>
      <c r="Q554" s="1">
        <v>0</v>
      </c>
      <c r="R554" s="1">
        <v>0</v>
      </c>
      <c r="S554" s="8" t="str">
        <f t="shared" si="26"/>
        <v>20313376045000200000385</v>
      </c>
      <c r="T554" s="14">
        <f>IFERROR(VLOOKUP(S554,AFIP!$F$2:$R$999999,12,FALSE),"NO")</f>
        <v>60900</v>
      </c>
      <c r="U554" s="10" t="str">
        <f t="shared" si="24"/>
        <v>SI</v>
      </c>
      <c r="V554" s="10">
        <f>IFERROR(VLOOKUP(S554,AFIP!$F$2:$R$999999,13,FALSE),"NO")</f>
        <v>350900</v>
      </c>
      <c r="W554" s="1" t="str">
        <f t="shared" si="25"/>
        <v>SI</v>
      </c>
    </row>
    <row r="555" spans="1:23" hidden="1" x14ac:dyDescent="0.25">
      <c r="A555" s="1" t="s">
        <v>286</v>
      </c>
      <c r="B555" s="1" t="s">
        <v>287</v>
      </c>
      <c r="C555" s="1" t="s">
        <v>19</v>
      </c>
      <c r="D555" s="1">
        <v>30717349616</v>
      </c>
      <c r="E555" s="1" t="s">
        <v>20</v>
      </c>
      <c r="F555" s="1" t="s">
        <v>822</v>
      </c>
      <c r="G555" s="1" t="s">
        <v>53</v>
      </c>
      <c r="H555" s="1" t="s">
        <v>54</v>
      </c>
      <c r="I555" s="1" t="s">
        <v>823</v>
      </c>
      <c r="J555" s="1">
        <v>10.5</v>
      </c>
      <c r="K555" s="12">
        <v>830000</v>
      </c>
      <c r="L555" s="1">
        <v>751131.22</v>
      </c>
      <c r="M555" s="1">
        <v>0</v>
      </c>
      <c r="N555" s="12">
        <v>78868.78</v>
      </c>
      <c r="O555" s="1">
        <v>0</v>
      </c>
      <c r="P555" s="1">
        <v>0</v>
      </c>
      <c r="Q555" s="1">
        <v>0</v>
      </c>
      <c r="R555" s="1">
        <v>0</v>
      </c>
      <c r="S555" s="8" t="str">
        <f t="shared" si="26"/>
        <v>30717349616000200012642</v>
      </c>
      <c r="T555" s="14">
        <f>IFERROR(VLOOKUP(S555,AFIP!$F$2:$R$999999,12,FALSE),"NO")</f>
        <v>78868.78</v>
      </c>
      <c r="U555" s="10" t="str">
        <f t="shared" si="24"/>
        <v>SI</v>
      </c>
      <c r="V555" s="10">
        <f>IFERROR(VLOOKUP(S555,AFIP!$F$2:$R$999999,13,FALSE),"NO")</f>
        <v>830000</v>
      </c>
      <c r="W555" s="1" t="str">
        <f t="shared" si="25"/>
        <v>SI</v>
      </c>
    </row>
    <row r="556" spans="1:23" hidden="1" x14ac:dyDescent="0.25">
      <c r="A556" s="1" t="s">
        <v>824</v>
      </c>
      <c r="B556" s="1" t="s">
        <v>825</v>
      </c>
      <c r="C556" s="1" t="s">
        <v>19</v>
      </c>
      <c r="D556" s="1">
        <v>20062708485</v>
      </c>
      <c r="E556" s="1" t="s">
        <v>20</v>
      </c>
      <c r="F556" s="1" t="s">
        <v>822</v>
      </c>
      <c r="G556" s="1" t="s">
        <v>53</v>
      </c>
      <c r="H556" s="1" t="s">
        <v>54</v>
      </c>
      <c r="I556" s="1" t="s">
        <v>826</v>
      </c>
      <c r="J556" s="1">
        <v>21</v>
      </c>
      <c r="K556" s="12">
        <v>66550</v>
      </c>
      <c r="L556" s="1">
        <v>55000</v>
      </c>
      <c r="M556" s="1">
        <v>0</v>
      </c>
      <c r="N556" s="12">
        <v>11550</v>
      </c>
      <c r="O556" s="1">
        <v>0</v>
      </c>
      <c r="P556" s="1">
        <v>0</v>
      </c>
      <c r="Q556" s="1">
        <v>0</v>
      </c>
      <c r="R556" s="1">
        <v>0</v>
      </c>
      <c r="S556" s="8" t="str">
        <f t="shared" si="26"/>
        <v>20062708485000300011786</v>
      </c>
      <c r="T556" s="14">
        <f>IFERROR(VLOOKUP(S556,AFIP!$F$2:$R$999999,12,FALSE),"NO")</f>
        <v>11550</v>
      </c>
      <c r="U556" s="10" t="str">
        <f t="shared" si="24"/>
        <v>SI</v>
      </c>
      <c r="V556" s="10">
        <f>IFERROR(VLOOKUP(S556,AFIP!$F$2:$R$999999,13,FALSE),"NO")</f>
        <v>66550</v>
      </c>
      <c r="W556" s="1" t="str">
        <f t="shared" si="25"/>
        <v>SI</v>
      </c>
    </row>
    <row r="557" spans="1:23" hidden="1" x14ac:dyDescent="0.25">
      <c r="A557" s="1" t="s">
        <v>234</v>
      </c>
      <c r="B557" s="1" t="s">
        <v>235</v>
      </c>
      <c r="C557" s="1" t="s">
        <v>19</v>
      </c>
      <c r="D557" s="1">
        <v>30500563059</v>
      </c>
      <c r="E557" s="1" t="s">
        <v>20</v>
      </c>
      <c r="F557" s="1" t="s">
        <v>822</v>
      </c>
      <c r="G557" s="1" t="s">
        <v>53</v>
      </c>
      <c r="H557" s="1" t="s">
        <v>54</v>
      </c>
      <c r="I557" s="1" t="s">
        <v>827</v>
      </c>
      <c r="J557" s="1">
        <v>21</v>
      </c>
      <c r="K557" s="12">
        <v>30880941.18</v>
      </c>
      <c r="L557" s="1">
        <v>25521439.010000002</v>
      </c>
      <c r="M557" s="1">
        <v>0</v>
      </c>
      <c r="N557" s="12">
        <v>5359502.17</v>
      </c>
      <c r="O557" s="1">
        <v>0</v>
      </c>
      <c r="P557" s="1">
        <v>0</v>
      </c>
      <c r="Q557" s="1">
        <v>0</v>
      </c>
      <c r="R557" s="1">
        <v>0</v>
      </c>
      <c r="S557" s="8" t="str">
        <f t="shared" si="26"/>
        <v>30500563059000400028975</v>
      </c>
      <c r="T557" s="14">
        <f>IFERROR(VLOOKUP(S557,AFIP!$F$2:$R$999999,12,FALSE),"NO")</f>
        <v>5359502.17</v>
      </c>
      <c r="U557" s="10" t="str">
        <f t="shared" si="24"/>
        <v>SI</v>
      </c>
      <c r="V557" s="10">
        <f>IFERROR(VLOOKUP(S557,AFIP!$F$2:$R$999999,13,FALSE),"NO")</f>
        <v>30880941.260000002</v>
      </c>
      <c r="W557" s="1" t="str">
        <f t="shared" si="25"/>
        <v>NO</v>
      </c>
    </row>
    <row r="558" spans="1:23" hidden="1" x14ac:dyDescent="0.25">
      <c r="A558" s="1" t="s">
        <v>127</v>
      </c>
      <c r="B558" s="1" t="s">
        <v>128</v>
      </c>
      <c r="C558" s="1" t="s">
        <v>19</v>
      </c>
      <c r="D558" s="1">
        <v>30696155190</v>
      </c>
      <c r="E558" s="1" t="s">
        <v>20</v>
      </c>
      <c r="F558" s="1" t="s">
        <v>822</v>
      </c>
      <c r="G558" s="1" t="s">
        <v>53</v>
      </c>
      <c r="H558" s="1" t="s">
        <v>54</v>
      </c>
      <c r="I558" s="1" t="s">
        <v>828</v>
      </c>
      <c r="J558" s="1">
        <v>21</v>
      </c>
      <c r="K558" s="12">
        <v>258167.42</v>
      </c>
      <c r="L558" s="1">
        <v>213361.5</v>
      </c>
      <c r="M558" s="1">
        <v>0</v>
      </c>
      <c r="N558" s="12">
        <v>44805.919999999998</v>
      </c>
      <c r="O558" s="1">
        <v>0</v>
      </c>
      <c r="P558" s="1">
        <v>0</v>
      </c>
      <c r="Q558" s="1">
        <v>0</v>
      </c>
      <c r="R558" s="1">
        <v>0</v>
      </c>
      <c r="S558" s="8" t="str">
        <f t="shared" si="26"/>
        <v>30696155190000700043641</v>
      </c>
      <c r="T558" s="14">
        <f>IFERROR(VLOOKUP(S558,AFIP!$F$2:$R$999999,12,FALSE),"NO")</f>
        <v>44805.919999999998</v>
      </c>
      <c r="U558" s="10" t="str">
        <f t="shared" si="24"/>
        <v>SI</v>
      </c>
      <c r="V558" s="10">
        <f>IFERROR(VLOOKUP(S558,AFIP!$F$2:$R$999999,13,FALSE),"NO")</f>
        <v>258167.42</v>
      </c>
      <c r="W558" s="1" t="str">
        <f t="shared" si="25"/>
        <v>SI</v>
      </c>
    </row>
    <row r="559" spans="1:23" hidden="1" x14ac:dyDescent="0.25">
      <c r="A559" s="1" t="s">
        <v>127</v>
      </c>
      <c r="B559" s="1" t="s">
        <v>128</v>
      </c>
      <c r="C559" s="1" t="s">
        <v>19</v>
      </c>
      <c r="D559" s="1">
        <v>30696155190</v>
      </c>
      <c r="E559" s="1" t="s">
        <v>20</v>
      </c>
      <c r="F559" s="1" t="s">
        <v>822</v>
      </c>
      <c r="G559" s="1" t="s">
        <v>53</v>
      </c>
      <c r="H559" s="1" t="s">
        <v>54</v>
      </c>
      <c r="I559" s="1" t="s">
        <v>829</v>
      </c>
      <c r="J559" s="1">
        <v>21</v>
      </c>
      <c r="K559" s="12">
        <v>1054510.57</v>
      </c>
      <c r="L559" s="1">
        <v>871496.34</v>
      </c>
      <c r="M559" s="1">
        <v>0</v>
      </c>
      <c r="N559" s="12">
        <v>183014.23</v>
      </c>
      <c r="O559" s="1">
        <v>0</v>
      </c>
      <c r="P559" s="1">
        <v>0</v>
      </c>
      <c r="Q559" s="1">
        <v>0</v>
      </c>
      <c r="R559" s="1">
        <v>0</v>
      </c>
      <c r="S559" s="8" t="str">
        <f t="shared" si="26"/>
        <v>30696155190000700043642</v>
      </c>
      <c r="T559" s="14">
        <f>IFERROR(VLOOKUP(S559,AFIP!$F$2:$R$999999,12,FALSE),"NO")</f>
        <v>183014.23</v>
      </c>
      <c r="U559" s="10" t="str">
        <f t="shared" si="24"/>
        <v>SI</v>
      </c>
      <c r="V559" s="10">
        <f>IFERROR(VLOOKUP(S559,AFIP!$F$2:$R$999999,13,FALSE),"NO")</f>
        <v>1054510.57</v>
      </c>
      <c r="W559" s="1" t="str">
        <f t="shared" si="25"/>
        <v>SI</v>
      </c>
    </row>
    <row r="560" spans="1:23" hidden="1" x14ac:dyDescent="0.25">
      <c r="A560" s="1" t="s">
        <v>127</v>
      </c>
      <c r="B560" s="1" t="s">
        <v>128</v>
      </c>
      <c r="C560" s="1" t="s">
        <v>19</v>
      </c>
      <c r="D560" s="1">
        <v>30696155190</v>
      </c>
      <c r="E560" s="1" t="s">
        <v>20</v>
      </c>
      <c r="F560" s="1" t="s">
        <v>822</v>
      </c>
      <c r="G560" s="1" t="s">
        <v>53</v>
      </c>
      <c r="H560" s="1" t="s">
        <v>54</v>
      </c>
      <c r="I560" s="1" t="s">
        <v>830</v>
      </c>
      <c r="J560" s="1">
        <v>21</v>
      </c>
      <c r="K560" s="12">
        <v>487516.68</v>
      </c>
      <c r="L560" s="1">
        <v>402906.35</v>
      </c>
      <c r="M560" s="1">
        <v>0</v>
      </c>
      <c r="N560" s="12">
        <v>84610.33</v>
      </c>
      <c r="O560" s="1">
        <v>0</v>
      </c>
      <c r="P560" s="1">
        <v>0</v>
      </c>
      <c r="Q560" s="1">
        <v>0</v>
      </c>
      <c r="R560" s="1">
        <v>0</v>
      </c>
      <c r="S560" s="8" t="str">
        <f t="shared" si="26"/>
        <v>30696155190000700043643</v>
      </c>
      <c r="T560" s="14">
        <f>IFERROR(VLOOKUP(S560,AFIP!$F$2:$R$999999,12,FALSE),"NO")</f>
        <v>84610.33</v>
      </c>
      <c r="U560" s="10" t="str">
        <f t="shared" si="24"/>
        <v>SI</v>
      </c>
      <c r="V560" s="10">
        <f>IFERROR(VLOOKUP(S560,AFIP!$F$2:$R$999999,13,FALSE),"NO")</f>
        <v>487516.68</v>
      </c>
      <c r="W560" s="1" t="str">
        <f t="shared" si="25"/>
        <v>SI</v>
      </c>
    </row>
    <row r="561" spans="1:23" hidden="1" x14ac:dyDescent="0.25">
      <c r="A561" s="1" t="s">
        <v>127</v>
      </c>
      <c r="B561" s="1" t="s">
        <v>128</v>
      </c>
      <c r="C561" s="1" t="s">
        <v>19</v>
      </c>
      <c r="D561" s="1">
        <v>30696155190</v>
      </c>
      <c r="E561" s="1" t="s">
        <v>20</v>
      </c>
      <c r="F561" s="1" t="s">
        <v>822</v>
      </c>
      <c r="G561" s="1" t="s">
        <v>53</v>
      </c>
      <c r="H561" s="1" t="s">
        <v>54</v>
      </c>
      <c r="I561" s="1" t="s">
        <v>831</v>
      </c>
      <c r="J561" s="1">
        <v>21</v>
      </c>
      <c r="K561" s="12">
        <v>222437.33</v>
      </c>
      <c r="L561" s="1">
        <v>183832.5</v>
      </c>
      <c r="M561" s="1">
        <v>0</v>
      </c>
      <c r="N561" s="12">
        <v>38604.82</v>
      </c>
      <c r="O561" s="1">
        <v>0</v>
      </c>
      <c r="P561" s="1">
        <v>0</v>
      </c>
      <c r="Q561" s="1">
        <v>0.01</v>
      </c>
      <c r="R561" s="1">
        <v>0</v>
      </c>
      <c r="S561" s="8" t="str">
        <f t="shared" si="26"/>
        <v>30696155190000700043644</v>
      </c>
      <c r="T561" s="14">
        <f>IFERROR(VLOOKUP(S561,AFIP!$F$2:$R$999999,12,FALSE),"NO")</f>
        <v>38604.83</v>
      </c>
      <c r="U561" s="10" t="str">
        <f t="shared" si="24"/>
        <v>NO</v>
      </c>
      <c r="V561" s="10">
        <f>IFERROR(VLOOKUP(S561,AFIP!$F$2:$R$999999,13,FALSE),"NO")</f>
        <v>222437.33</v>
      </c>
      <c r="W561" s="1" t="str">
        <f t="shared" si="25"/>
        <v>SI</v>
      </c>
    </row>
    <row r="562" spans="1:23" hidden="1" x14ac:dyDescent="0.25">
      <c r="A562" s="1" t="s">
        <v>27</v>
      </c>
      <c r="B562" s="1" t="s">
        <v>28</v>
      </c>
      <c r="C562" s="1" t="s">
        <v>19</v>
      </c>
      <c r="D562" s="1">
        <v>30501044551</v>
      </c>
      <c r="E562" s="1" t="s">
        <v>20</v>
      </c>
      <c r="F562" s="1" t="s">
        <v>822</v>
      </c>
      <c r="G562" s="1" t="s">
        <v>53</v>
      </c>
      <c r="H562" s="1" t="s">
        <v>54</v>
      </c>
      <c r="I562" s="1" t="s">
        <v>832</v>
      </c>
      <c r="J562" s="1">
        <v>21</v>
      </c>
      <c r="K562" s="12">
        <v>50.25</v>
      </c>
      <c r="L562" s="1">
        <v>41.53</v>
      </c>
      <c r="M562" s="1">
        <v>0</v>
      </c>
      <c r="N562" s="12">
        <v>8.7200000000000006</v>
      </c>
      <c r="O562" s="1">
        <v>0</v>
      </c>
      <c r="P562" s="1">
        <v>0</v>
      </c>
      <c r="Q562" s="1">
        <v>0</v>
      </c>
      <c r="R562" s="1">
        <v>0</v>
      </c>
      <c r="S562" s="8" t="str">
        <f t="shared" si="26"/>
        <v>30501044551000700568211</v>
      </c>
      <c r="T562" s="14">
        <f>IFERROR(VLOOKUP(S562,AFIP!$F$2:$R$999999,12,FALSE),"NO")</f>
        <v>8.7200000000000006</v>
      </c>
      <c r="U562" s="10" t="str">
        <f t="shared" si="24"/>
        <v>SI</v>
      </c>
      <c r="V562" s="10">
        <f>IFERROR(VLOOKUP(S562,AFIP!$F$2:$R$999999,13,FALSE),"NO")</f>
        <v>50.25</v>
      </c>
      <c r="W562" s="1" t="str">
        <f t="shared" si="25"/>
        <v>SI</v>
      </c>
    </row>
    <row r="563" spans="1:23" hidden="1" x14ac:dyDescent="0.25">
      <c r="A563" s="1" t="s">
        <v>27</v>
      </c>
      <c r="B563" s="1" t="s">
        <v>28</v>
      </c>
      <c r="C563" s="1" t="s">
        <v>19</v>
      </c>
      <c r="D563" s="1">
        <v>30501044551</v>
      </c>
      <c r="E563" s="1" t="s">
        <v>20</v>
      </c>
      <c r="F563" s="1" t="s">
        <v>822</v>
      </c>
      <c r="G563" s="1" t="s">
        <v>53</v>
      </c>
      <c r="H563" s="1" t="s">
        <v>54</v>
      </c>
      <c r="I563" s="1" t="s">
        <v>833</v>
      </c>
      <c r="J563" s="1">
        <v>21</v>
      </c>
      <c r="K563" s="12">
        <v>84111.56</v>
      </c>
      <c r="L563" s="1">
        <v>66491.350000000006</v>
      </c>
      <c r="M563" s="1">
        <v>0</v>
      </c>
      <c r="N563" s="12">
        <v>13963.18</v>
      </c>
      <c r="O563" s="1">
        <v>1994.74</v>
      </c>
      <c r="P563" s="1">
        <v>1662.29</v>
      </c>
      <c r="Q563" s="1">
        <v>0</v>
      </c>
      <c r="R563" s="1">
        <v>0</v>
      </c>
      <c r="S563" s="8" t="str">
        <f t="shared" si="26"/>
        <v>30501044551000700568218</v>
      </c>
      <c r="T563" s="14">
        <f>IFERROR(VLOOKUP(S563,AFIP!$F$2:$R$999999,12,FALSE),"NO")</f>
        <v>13963.18</v>
      </c>
      <c r="U563" s="10" t="str">
        <f t="shared" si="24"/>
        <v>SI</v>
      </c>
      <c r="V563" s="10">
        <f>IFERROR(VLOOKUP(S563,AFIP!$F$2:$R$999999,13,FALSE),"NO")</f>
        <v>84111.56</v>
      </c>
      <c r="W563" s="1" t="str">
        <f t="shared" si="25"/>
        <v>SI</v>
      </c>
    </row>
    <row r="564" spans="1:23" hidden="1" x14ac:dyDescent="0.25">
      <c r="A564" s="1" t="s">
        <v>39</v>
      </c>
      <c r="B564" s="1" t="s">
        <v>40</v>
      </c>
      <c r="C564" s="1" t="s">
        <v>19</v>
      </c>
      <c r="D564" s="1">
        <v>30704759645</v>
      </c>
      <c r="E564" s="1" t="s">
        <v>20</v>
      </c>
      <c r="F564" s="1" t="s">
        <v>822</v>
      </c>
      <c r="G564" s="1" t="s">
        <v>53</v>
      </c>
      <c r="H564" s="1" t="s">
        <v>54</v>
      </c>
      <c r="I564" s="1" t="s">
        <v>834</v>
      </c>
      <c r="J564" s="1">
        <v>21</v>
      </c>
      <c r="K564" s="12">
        <v>1135930.47</v>
      </c>
      <c r="L564" s="1">
        <v>938785.51</v>
      </c>
      <c r="M564" s="1">
        <v>0</v>
      </c>
      <c r="N564" s="12">
        <v>197144.95999999999</v>
      </c>
      <c r="O564" s="1">
        <v>0</v>
      </c>
      <c r="P564" s="1">
        <v>0</v>
      </c>
      <c r="Q564" s="1">
        <v>0</v>
      </c>
      <c r="R564" s="1">
        <v>0</v>
      </c>
      <c r="S564" s="8" t="str">
        <f t="shared" si="26"/>
        <v>30704759645001400006484</v>
      </c>
      <c r="T564" s="14">
        <f>IFERROR(VLOOKUP(S564,AFIP!$F$2:$R$999999,12,FALSE),"NO")</f>
        <v>197144.95999999999</v>
      </c>
      <c r="U564" s="10" t="str">
        <f t="shared" si="24"/>
        <v>SI</v>
      </c>
      <c r="V564" s="10">
        <f>IFERROR(VLOOKUP(S564,AFIP!$F$2:$R$999999,13,FALSE),"NO")</f>
        <v>1135930.47</v>
      </c>
      <c r="W564" s="1" t="str">
        <f t="shared" si="25"/>
        <v>SI</v>
      </c>
    </row>
    <row r="565" spans="1:23" hidden="1" x14ac:dyDescent="0.25">
      <c r="A565" s="1" t="s">
        <v>39</v>
      </c>
      <c r="B565" s="1" t="s">
        <v>40</v>
      </c>
      <c r="C565" s="1" t="s">
        <v>19</v>
      </c>
      <c r="D565" s="1">
        <v>30704759645</v>
      </c>
      <c r="E565" s="1" t="s">
        <v>20</v>
      </c>
      <c r="F565" s="1" t="s">
        <v>822</v>
      </c>
      <c r="G565" s="1" t="s">
        <v>53</v>
      </c>
      <c r="H565" s="1" t="s">
        <v>54</v>
      </c>
      <c r="I565" s="1" t="s">
        <v>835</v>
      </c>
      <c r="J565" s="1">
        <v>21</v>
      </c>
      <c r="K565" s="12">
        <v>20036556.370000001</v>
      </c>
      <c r="L565" s="1">
        <v>16559137.5</v>
      </c>
      <c r="M565" s="1">
        <v>0</v>
      </c>
      <c r="N565" s="12">
        <v>3477418.88</v>
      </c>
      <c r="O565" s="1">
        <v>0</v>
      </c>
      <c r="P565" s="1">
        <v>0</v>
      </c>
      <c r="Q565" s="1">
        <v>-0.01</v>
      </c>
      <c r="R565" s="1">
        <v>0</v>
      </c>
      <c r="S565" s="8" t="str">
        <f t="shared" si="26"/>
        <v>30704759645001400006485</v>
      </c>
      <c r="T565" s="14">
        <f>IFERROR(VLOOKUP(S565,AFIP!$F$2:$R$999999,12,FALSE),"NO")</f>
        <v>3477418.88</v>
      </c>
      <c r="U565" s="10" t="str">
        <f t="shared" si="24"/>
        <v>SI</v>
      </c>
      <c r="V565" s="10">
        <f>IFERROR(VLOOKUP(S565,AFIP!$F$2:$R$999999,13,FALSE),"NO")</f>
        <v>20036556.379999999</v>
      </c>
      <c r="W565" s="1" t="str">
        <f t="shared" si="25"/>
        <v>NO</v>
      </c>
    </row>
    <row r="566" spans="1:23" hidden="1" x14ac:dyDescent="0.25">
      <c r="A566" s="1" t="s">
        <v>35</v>
      </c>
      <c r="B566" s="1" t="s">
        <v>36</v>
      </c>
      <c r="C566" s="1" t="s">
        <v>19</v>
      </c>
      <c r="D566" s="1">
        <v>33522734549</v>
      </c>
      <c r="E566" s="1" t="s">
        <v>20</v>
      </c>
      <c r="F566" s="1" t="s">
        <v>822</v>
      </c>
      <c r="G566" s="1" t="s">
        <v>53</v>
      </c>
      <c r="H566" s="1" t="s">
        <v>54</v>
      </c>
      <c r="I566" s="1" t="s">
        <v>836</v>
      </c>
      <c r="J566" s="1">
        <v>21</v>
      </c>
      <c r="K566" s="12">
        <v>48467719</v>
      </c>
      <c r="L566" s="1">
        <v>38314402.369999997</v>
      </c>
      <c r="M566" s="1">
        <v>0</v>
      </c>
      <c r="N566" s="12">
        <v>8046024.5</v>
      </c>
      <c r="O566" s="1">
        <v>1149432.07</v>
      </c>
      <c r="P566" s="1">
        <v>957860.06</v>
      </c>
      <c r="Q566" s="1">
        <v>0</v>
      </c>
      <c r="R566" s="1">
        <v>0</v>
      </c>
      <c r="S566" s="8" t="str">
        <f t="shared" si="26"/>
        <v>33522734549002100302529</v>
      </c>
      <c r="T566" s="14">
        <f>IFERROR(VLOOKUP(S566,AFIP!$F$2:$R$999999,12,FALSE),"NO")</f>
        <v>8046024.5</v>
      </c>
      <c r="U566" s="10" t="str">
        <f t="shared" si="24"/>
        <v>SI</v>
      </c>
      <c r="V566" s="10">
        <f>IFERROR(VLOOKUP(S566,AFIP!$F$2:$R$999999,13,FALSE),"NO")</f>
        <v>48467719</v>
      </c>
      <c r="W566" s="1" t="str">
        <f t="shared" si="25"/>
        <v>SI</v>
      </c>
    </row>
    <row r="567" spans="1:23" x14ac:dyDescent="0.25">
      <c r="A567" s="1" t="s">
        <v>33</v>
      </c>
      <c r="B567" s="1" t="s">
        <v>34</v>
      </c>
      <c r="C567" s="1" t="s">
        <v>19</v>
      </c>
      <c r="D567" s="1">
        <v>33708336969</v>
      </c>
      <c r="E567" s="1" t="s">
        <v>20</v>
      </c>
      <c r="F567" s="1" t="s">
        <v>822</v>
      </c>
      <c r="G567" s="1" t="s">
        <v>53</v>
      </c>
      <c r="H567" s="1" t="s">
        <v>54</v>
      </c>
      <c r="I567" s="1" t="s">
        <v>837</v>
      </c>
      <c r="J567" s="1">
        <v>21</v>
      </c>
      <c r="K567" s="12">
        <v>9000</v>
      </c>
      <c r="L567" s="1">
        <v>7438.02</v>
      </c>
      <c r="M567" s="1">
        <v>0</v>
      </c>
      <c r="N567" s="12">
        <v>1561.98</v>
      </c>
      <c r="O567" s="1">
        <v>0</v>
      </c>
      <c r="P567" s="1">
        <v>0</v>
      </c>
      <c r="Q567" s="1">
        <v>0</v>
      </c>
      <c r="R567" s="1">
        <v>0</v>
      </c>
      <c r="S567" s="8" t="str">
        <f t="shared" si="26"/>
        <v>33708336969003600012296</v>
      </c>
      <c r="T567" s="14" t="str">
        <f>IFERROR(VLOOKUP(S567,AFIP!$F$2:$R$999999,12,FALSE),"NO")</f>
        <v>NO</v>
      </c>
      <c r="U567" s="10" t="str">
        <f t="shared" si="24"/>
        <v>NO</v>
      </c>
      <c r="V567" s="10" t="str">
        <f>IFERROR(VLOOKUP(S567,AFIP!$F$2:$R$999999,13,FALSE),"NO")</f>
        <v>NO</v>
      </c>
      <c r="W567" s="1" t="str">
        <f t="shared" si="25"/>
        <v>NO</v>
      </c>
    </row>
    <row r="568" spans="1:23" hidden="1" x14ac:dyDescent="0.25">
      <c r="A568" s="1" t="s">
        <v>838</v>
      </c>
      <c r="B568" s="1" t="s">
        <v>839</v>
      </c>
      <c r="C568" s="1" t="s">
        <v>19</v>
      </c>
      <c r="D568" s="1">
        <v>27204397649</v>
      </c>
      <c r="E568" s="1" t="s">
        <v>63</v>
      </c>
      <c r="F568" s="1" t="s">
        <v>822</v>
      </c>
      <c r="G568" s="1" t="s">
        <v>53</v>
      </c>
      <c r="H568" s="1" t="s">
        <v>59</v>
      </c>
      <c r="I568" s="1" t="s">
        <v>840</v>
      </c>
      <c r="J568" s="1">
        <v>0</v>
      </c>
      <c r="K568" s="12">
        <v>330000</v>
      </c>
      <c r="L568" s="1">
        <v>0</v>
      </c>
      <c r="M568" s="1">
        <v>330000</v>
      </c>
      <c r="N568" s="12">
        <v>0</v>
      </c>
      <c r="O568" s="1">
        <v>0</v>
      </c>
      <c r="P568" s="1">
        <v>0</v>
      </c>
      <c r="Q568" s="1">
        <v>0</v>
      </c>
      <c r="R568" s="1">
        <v>0</v>
      </c>
      <c r="S568" s="8" t="str">
        <f t="shared" si="26"/>
        <v>27204397649000200000081</v>
      </c>
      <c r="T568" s="14">
        <f>IFERROR(VLOOKUP(S568,AFIP!$F$2:$R$999999,12,FALSE),"NO")</f>
        <v>0</v>
      </c>
      <c r="U568" s="10" t="str">
        <f t="shared" si="24"/>
        <v>SI</v>
      </c>
      <c r="V568" s="10">
        <f>IFERROR(VLOOKUP(S568,AFIP!$F$2:$R$999999,13,FALSE),"NO")</f>
        <v>330000</v>
      </c>
      <c r="W568" s="1" t="str">
        <f t="shared" si="25"/>
        <v>SI</v>
      </c>
    </row>
    <row r="569" spans="1:23" hidden="1" x14ac:dyDescent="0.25">
      <c r="A569" s="1" t="s">
        <v>88</v>
      </c>
      <c r="B569" s="1" t="s">
        <v>729</v>
      </c>
      <c r="C569" s="1" t="s">
        <v>19</v>
      </c>
      <c r="D569" s="1">
        <v>30718520416</v>
      </c>
      <c r="E569" s="1" t="s">
        <v>20</v>
      </c>
      <c r="F569" s="1" t="s">
        <v>841</v>
      </c>
      <c r="G569" s="1" t="s">
        <v>53</v>
      </c>
      <c r="H569" s="1" t="s">
        <v>54</v>
      </c>
      <c r="I569" s="1" t="s">
        <v>842</v>
      </c>
      <c r="J569" s="1">
        <v>21</v>
      </c>
      <c r="K569" s="12">
        <v>80000</v>
      </c>
      <c r="L569" s="1">
        <v>66115.7</v>
      </c>
      <c r="M569" s="1">
        <v>0</v>
      </c>
      <c r="N569" s="12">
        <v>13884.3</v>
      </c>
      <c r="O569" s="1">
        <v>0</v>
      </c>
      <c r="P569" s="1">
        <v>0</v>
      </c>
      <c r="Q569" s="1">
        <v>0</v>
      </c>
      <c r="R569" s="1">
        <v>0</v>
      </c>
      <c r="S569" s="8" t="str">
        <f t="shared" si="26"/>
        <v>30718520416000200001590</v>
      </c>
      <c r="T569" s="14">
        <f>IFERROR(VLOOKUP(S569,AFIP!$F$2:$R$999999,12,FALSE),"NO")</f>
        <v>13884.3</v>
      </c>
      <c r="U569" s="10" t="str">
        <f t="shared" si="24"/>
        <v>SI</v>
      </c>
      <c r="V569" s="10">
        <f>IFERROR(VLOOKUP(S569,AFIP!$F$2:$R$999999,13,FALSE),"NO")</f>
        <v>80000</v>
      </c>
      <c r="W569" s="1" t="str">
        <f t="shared" si="25"/>
        <v>SI</v>
      </c>
    </row>
    <row r="570" spans="1:23" hidden="1" x14ac:dyDescent="0.25">
      <c r="A570" s="1" t="s">
        <v>256</v>
      </c>
      <c r="B570" s="1" t="s">
        <v>257</v>
      </c>
      <c r="C570" s="1" t="s">
        <v>19</v>
      </c>
      <c r="D570" s="1">
        <v>30716973065</v>
      </c>
      <c r="E570" s="1" t="s">
        <v>20</v>
      </c>
      <c r="F570" s="1" t="s">
        <v>841</v>
      </c>
      <c r="G570" s="1" t="s">
        <v>53</v>
      </c>
      <c r="H570" s="1" t="s">
        <v>54</v>
      </c>
      <c r="I570" s="1" t="s">
        <v>843</v>
      </c>
      <c r="J570" s="1">
        <v>21</v>
      </c>
      <c r="K570" s="12">
        <v>80000</v>
      </c>
      <c r="L570" s="1">
        <v>66115.7</v>
      </c>
      <c r="M570" s="1">
        <v>0</v>
      </c>
      <c r="N570" s="12">
        <v>13884.3</v>
      </c>
      <c r="O570" s="1">
        <v>0</v>
      </c>
      <c r="P570" s="1">
        <v>0</v>
      </c>
      <c r="Q570" s="1">
        <v>0</v>
      </c>
      <c r="R570" s="1">
        <v>0</v>
      </c>
      <c r="S570" s="8" t="str">
        <f t="shared" si="26"/>
        <v>30716973065000300000668</v>
      </c>
      <c r="T570" s="14">
        <f>IFERROR(VLOOKUP(S570,AFIP!$F$2:$R$999999,12,FALSE),"NO")</f>
        <v>13884.3</v>
      </c>
      <c r="U570" s="10" t="str">
        <f t="shared" si="24"/>
        <v>SI</v>
      </c>
      <c r="V570" s="10">
        <f>IFERROR(VLOOKUP(S570,AFIP!$F$2:$R$999999,13,FALSE),"NO")</f>
        <v>80000</v>
      </c>
      <c r="W570" s="1" t="str">
        <f t="shared" si="25"/>
        <v>SI</v>
      </c>
    </row>
    <row r="571" spans="1:23" hidden="1" x14ac:dyDescent="0.25">
      <c r="A571" s="1" t="s">
        <v>844</v>
      </c>
      <c r="B571" s="1" t="s">
        <v>845</v>
      </c>
      <c r="C571" s="1" t="s">
        <v>19</v>
      </c>
      <c r="D571" s="1">
        <v>27281730237</v>
      </c>
      <c r="E571" s="1" t="s">
        <v>20</v>
      </c>
      <c r="F571" s="1" t="s">
        <v>841</v>
      </c>
      <c r="G571" s="1" t="s">
        <v>53</v>
      </c>
      <c r="H571" s="1" t="s">
        <v>54</v>
      </c>
      <c r="I571" s="1" t="s">
        <v>846</v>
      </c>
      <c r="J571" s="1">
        <v>21</v>
      </c>
      <c r="K571" s="12">
        <v>629100.01</v>
      </c>
      <c r="L571" s="1">
        <v>519917.36</v>
      </c>
      <c r="M571" s="1">
        <v>0</v>
      </c>
      <c r="N571" s="12">
        <v>109182.65</v>
      </c>
      <c r="O571" s="1">
        <v>0</v>
      </c>
      <c r="P571" s="1">
        <v>0</v>
      </c>
      <c r="Q571" s="1">
        <v>0</v>
      </c>
      <c r="R571" s="1">
        <v>0</v>
      </c>
      <c r="S571" s="8" t="str">
        <f t="shared" si="26"/>
        <v>27281730237000300006508</v>
      </c>
      <c r="T571" s="14">
        <f>IFERROR(VLOOKUP(S571,AFIP!$F$2:$R$999999,12,FALSE),"NO")</f>
        <v>109182.65</v>
      </c>
      <c r="U571" s="10" t="str">
        <f t="shared" si="24"/>
        <v>SI</v>
      </c>
      <c r="V571" s="10">
        <f>IFERROR(VLOOKUP(S571,AFIP!$F$2:$R$999999,13,FALSE),"NO")</f>
        <v>629100.01</v>
      </c>
      <c r="W571" s="1" t="str">
        <f t="shared" si="25"/>
        <v>SI</v>
      </c>
    </row>
    <row r="572" spans="1:23" hidden="1" x14ac:dyDescent="0.25">
      <c r="A572" s="1" t="s">
        <v>137</v>
      </c>
      <c r="B572" s="1" t="s">
        <v>138</v>
      </c>
      <c r="C572" s="1" t="s">
        <v>19</v>
      </c>
      <c r="D572" s="1">
        <v>23066238849</v>
      </c>
      <c r="E572" s="1" t="s">
        <v>20</v>
      </c>
      <c r="F572" s="1" t="s">
        <v>841</v>
      </c>
      <c r="G572" s="1" t="s">
        <v>53</v>
      </c>
      <c r="H572" s="1" t="s">
        <v>54</v>
      </c>
      <c r="I572" s="1" t="s">
        <v>847</v>
      </c>
      <c r="J572" s="1">
        <v>21</v>
      </c>
      <c r="K572" s="12">
        <v>80000</v>
      </c>
      <c r="L572" s="1">
        <v>66115.7</v>
      </c>
      <c r="M572" s="1">
        <v>0</v>
      </c>
      <c r="N572" s="12">
        <v>13884.3</v>
      </c>
      <c r="O572" s="1">
        <v>0</v>
      </c>
      <c r="P572" s="1">
        <v>0</v>
      </c>
      <c r="Q572" s="1">
        <v>0</v>
      </c>
      <c r="R572" s="1">
        <v>0</v>
      </c>
      <c r="S572" s="8" t="str">
        <f t="shared" si="26"/>
        <v>23066238849000500015355</v>
      </c>
      <c r="T572" s="14">
        <f>IFERROR(VLOOKUP(S572,AFIP!$F$2:$R$999999,12,FALSE),"NO")</f>
        <v>13884.3</v>
      </c>
      <c r="U572" s="10" t="str">
        <f t="shared" si="24"/>
        <v>SI</v>
      </c>
      <c r="V572" s="10">
        <f>IFERROR(VLOOKUP(S572,AFIP!$F$2:$R$999999,13,FALSE),"NO")</f>
        <v>80000</v>
      </c>
      <c r="W572" s="1" t="str">
        <f t="shared" si="25"/>
        <v>SI</v>
      </c>
    </row>
    <row r="573" spans="1:23" hidden="1" x14ac:dyDescent="0.25">
      <c r="A573" s="1" t="s">
        <v>288</v>
      </c>
      <c r="B573" s="1" t="s">
        <v>289</v>
      </c>
      <c r="C573" s="1" t="s">
        <v>19</v>
      </c>
      <c r="D573" s="1">
        <v>30710029039</v>
      </c>
      <c r="E573" s="1" t="s">
        <v>20</v>
      </c>
      <c r="F573" s="1" t="s">
        <v>841</v>
      </c>
      <c r="G573" s="1" t="s">
        <v>53</v>
      </c>
      <c r="H573" s="1" t="s">
        <v>54</v>
      </c>
      <c r="I573" s="1" t="s">
        <v>848</v>
      </c>
      <c r="J573" s="1">
        <v>21</v>
      </c>
      <c r="K573" s="12">
        <v>373393.94</v>
      </c>
      <c r="L573" s="1">
        <v>308590.03000000003</v>
      </c>
      <c r="M573" s="1">
        <v>0</v>
      </c>
      <c r="N573" s="12">
        <v>64803.91</v>
      </c>
      <c r="O573" s="1">
        <v>0</v>
      </c>
      <c r="P573" s="1">
        <v>0</v>
      </c>
      <c r="Q573" s="1">
        <v>0</v>
      </c>
      <c r="R573" s="1">
        <v>0</v>
      </c>
      <c r="S573" s="8" t="str">
        <f t="shared" si="26"/>
        <v>30710029039001000011367</v>
      </c>
      <c r="T573" s="14">
        <f>IFERROR(VLOOKUP(S573,AFIP!$F$2:$R$999999,12,FALSE),"NO")</f>
        <v>64803.91</v>
      </c>
      <c r="U573" s="10" t="str">
        <f t="shared" si="24"/>
        <v>SI</v>
      </c>
      <c r="V573" s="10">
        <f>IFERROR(VLOOKUP(S573,AFIP!$F$2:$R$999999,13,FALSE),"NO")</f>
        <v>373393.94</v>
      </c>
      <c r="W573" s="1" t="str">
        <f t="shared" si="25"/>
        <v>SI</v>
      </c>
    </row>
    <row r="574" spans="1:23" hidden="1" x14ac:dyDescent="0.25">
      <c r="A574" s="1" t="s">
        <v>1184</v>
      </c>
      <c r="B574" s="1" t="s">
        <v>1185</v>
      </c>
      <c r="C574" s="1" t="s">
        <v>19</v>
      </c>
      <c r="D574" s="1">
        <v>30545709976</v>
      </c>
      <c r="E574" s="1" t="s">
        <v>20</v>
      </c>
      <c r="F574" s="1" t="s">
        <v>841</v>
      </c>
      <c r="G574" s="1" t="s">
        <v>53</v>
      </c>
      <c r="H574" s="1" t="s">
        <v>54</v>
      </c>
      <c r="I574" s="1" t="s">
        <v>1186</v>
      </c>
      <c r="J574" s="1">
        <v>21</v>
      </c>
      <c r="K574" s="12">
        <v>35793.339999999997</v>
      </c>
      <c r="L574" s="1">
        <v>29581.27</v>
      </c>
      <c r="M574" s="1">
        <v>0</v>
      </c>
      <c r="N574" s="12">
        <v>6212.07</v>
      </c>
      <c r="O574" s="1">
        <v>0</v>
      </c>
      <c r="P574" s="1">
        <v>0</v>
      </c>
      <c r="Q574" s="1">
        <v>0</v>
      </c>
      <c r="R574" s="1">
        <v>0</v>
      </c>
      <c r="S574" s="8" t="str">
        <f t="shared" si="26"/>
        <v>30545709976001000065671</v>
      </c>
      <c r="T574" s="14">
        <f>IFERROR(VLOOKUP(S574,AFIP!$F$2:$R$999999,12,FALSE),"NO")</f>
        <v>6212.06</v>
      </c>
      <c r="U574" s="10" t="str">
        <f t="shared" si="24"/>
        <v>NO</v>
      </c>
      <c r="V574" s="10">
        <f>IFERROR(VLOOKUP(S574,AFIP!$F$2:$R$999999,13,FALSE),"NO")</f>
        <v>35793.32</v>
      </c>
      <c r="W574" s="1" t="str">
        <f t="shared" si="25"/>
        <v>NO</v>
      </c>
    </row>
    <row r="575" spans="1:23" hidden="1" x14ac:dyDescent="0.25">
      <c r="A575" s="1" t="s">
        <v>49</v>
      </c>
      <c r="B575" s="1" t="s">
        <v>50</v>
      </c>
      <c r="C575" s="1" t="s">
        <v>19</v>
      </c>
      <c r="D575" s="1">
        <v>30523412236</v>
      </c>
      <c r="E575" s="1" t="s">
        <v>20</v>
      </c>
      <c r="F575" s="1" t="s">
        <v>841</v>
      </c>
      <c r="G575" s="1" t="s">
        <v>53</v>
      </c>
      <c r="H575" s="1" t="s">
        <v>54</v>
      </c>
      <c r="I575" s="1" t="s">
        <v>849</v>
      </c>
      <c r="J575" s="1">
        <v>21</v>
      </c>
      <c r="K575" s="12">
        <v>3878873.99</v>
      </c>
      <c r="L575" s="1">
        <v>3205680.98</v>
      </c>
      <c r="M575" s="1">
        <v>0</v>
      </c>
      <c r="N575" s="12">
        <v>673193.01</v>
      </c>
      <c r="O575" s="1">
        <v>0</v>
      </c>
      <c r="P575" s="1">
        <v>0</v>
      </c>
      <c r="Q575" s="1">
        <v>0</v>
      </c>
      <c r="R575" s="1">
        <v>0</v>
      </c>
      <c r="S575" s="8" t="str">
        <f t="shared" si="26"/>
        <v>30523412236001400023037</v>
      </c>
      <c r="T575" s="14">
        <f>IFERROR(VLOOKUP(S575,AFIP!$F$2:$R$999999,12,FALSE),"NO")</f>
        <v>673193.01</v>
      </c>
      <c r="U575" s="10" t="str">
        <f t="shared" ref="U575:U601" si="27">IF(N575=T575,"SI","NO")</f>
        <v>SI</v>
      </c>
      <c r="V575" s="10">
        <f>IFERROR(VLOOKUP(S575,AFIP!$F$2:$R$999999,13,FALSE),"NO")</f>
        <v>3878873.99</v>
      </c>
      <c r="W575" s="1" t="str">
        <f t="shared" ref="W575:W601" si="28">IF(K575=V575,"SI","NO")</f>
        <v>SI</v>
      </c>
    </row>
    <row r="576" spans="1:23" hidden="1" x14ac:dyDescent="0.25">
      <c r="A576" s="1" t="s">
        <v>49</v>
      </c>
      <c r="B576" s="1" t="s">
        <v>50</v>
      </c>
      <c r="C576" s="1" t="s">
        <v>19</v>
      </c>
      <c r="D576" s="1">
        <v>30523412236</v>
      </c>
      <c r="E576" s="1" t="s">
        <v>20</v>
      </c>
      <c r="F576" s="1" t="s">
        <v>841</v>
      </c>
      <c r="G576" s="1" t="s">
        <v>53</v>
      </c>
      <c r="H576" s="1" t="s">
        <v>54</v>
      </c>
      <c r="I576" s="1" t="s">
        <v>850</v>
      </c>
      <c r="J576" s="1">
        <v>21</v>
      </c>
      <c r="K576" s="12">
        <v>2445393.06</v>
      </c>
      <c r="L576" s="1">
        <v>2020986</v>
      </c>
      <c r="M576" s="1">
        <v>0</v>
      </c>
      <c r="N576" s="12">
        <v>424407.06</v>
      </c>
      <c r="O576" s="1">
        <v>0</v>
      </c>
      <c r="P576" s="1">
        <v>0</v>
      </c>
      <c r="Q576" s="1">
        <v>0</v>
      </c>
      <c r="R576" s="1">
        <v>0</v>
      </c>
      <c r="S576" s="8" t="str">
        <f t="shared" si="26"/>
        <v>30523412236001400023038</v>
      </c>
      <c r="T576" s="14">
        <f>IFERROR(VLOOKUP(S576,AFIP!$F$2:$R$999999,12,FALSE),"NO")</f>
        <v>424407.06</v>
      </c>
      <c r="U576" s="10" t="str">
        <f t="shared" si="27"/>
        <v>SI</v>
      </c>
      <c r="V576" s="10">
        <f>IFERROR(VLOOKUP(S576,AFIP!$F$2:$R$999999,13,FALSE),"NO")</f>
        <v>2445393.06</v>
      </c>
      <c r="W576" s="1" t="str">
        <f t="shared" si="28"/>
        <v>SI</v>
      </c>
    </row>
    <row r="577" spans="1:23" x14ac:dyDescent="0.25">
      <c r="A577" s="1" t="s">
        <v>33</v>
      </c>
      <c r="B577" s="1" t="s">
        <v>34</v>
      </c>
      <c r="C577" s="1" t="s">
        <v>19</v>
      </c>
      <c r="D577" s="1">
        <v>33708336969</v>
      </c>
      <c r="E577" s="1" t="s">
        <v>20</v>
      </c>
      <c r="F577" s="1" t="s">
        <v>841</v>
      </c>
      <c r="G577" s="1" t="s">
        <v>53</v>
      </c>
      <c r="H577" s="1" t="s">
        <v>54</v>
      </c>
      <c r="I577" s="1" t="s">
        <v>1187</v>
      </c>
      <c r="J577" s="1">
        <v>21</v>
      </c>
      <c r="K577" s="12">
        <v>8000</v>
      </c>
      <c r="L577" s="1">
        <v>6611.57</v>
      </c>
      <c r="M577" s="1">
        <v>0</v>
      </c>
      <c r="N577" s="12">
        <v>1388.43</v>
      </c>
      <c r="O577" s="1">
        <v>0</v>
      </c>
      <c r="P577" s="1">
        <v>0</v>
      </c>
      <c r="Q577" s="1">
        <v>0</v>
      </c>
      <c r="R577" s="1">
        <v>0</v>
      </c>
      <c r="S577" s="8" t="str">
        <f t="shared" si="26"/>
        <v>33708336969003600012329</v>
      </c>
      <c r="T577" s="14" t="str">
        <f>IFERROR(VLOOKUP(S577,AFIP!$F$2:$R$999999,12,FALSE),"NO")</f>
        <v>NO</v>
      </c>
      <c r="U577" s="10" t="str">
        <f t="shared" si="27"/>
        <v>NO</v>
      </c>
      <c r="V577" s="10" t="str">
        <f>IFERROR(VLOOKUP(S577,AFIP!$F$2:$R$999999,13,FALSE),"NO")</f>
        <v>NO</v>
      </c>
      <c r="W577" s="1" t="str">
        <f t="shared" si="28"/>
        <v>NO</v>
      </c>
    </row>
    <row r="578" spans="1:23" hidden="1" x14ac:dyDescent="0.25">
      <c r="A578" s="1" t="s">
        <v>851</v>
      </c>
      <c r="B578" s="1" t="s">
        <v>852</v>
      </c>
      <c r="C578" s="1" t="s">
        <v>19</v>
      </c>
      <c r="D578" s="1">
        <v>27299921536</v>
      </c>
      <c r="E578" s="1" t="s">
        <v>63</v>
      </c>
      <c r="F578" s="1" t="s">
        <v>841</v>
      </c>
      <c r="G578" s="1" t="s">
        <v>53</v>
      </c>
      <c r="H578" s="1" t="s">
        <v>59</v>
      </c>
      <c r="I578" s="1" t="s">
        <v>853</v>
      </c>
      <c r="J578" s="1">
        <v>0</v>
      </c>
      <c r="K578" s="12">
        <v>150000</v>
      </c>
      <c r="L578" s="1">
        <v>0</v>
      </c>
      <c r="M578" s="1">
        <v>150000</v>
      </c>
      <c r="N578" s="12">
        <v>0</v>
      </c>
      <c r="O578" s="1">
        <v>0</v>
      </c>
      <c r="P578" s="1">
        <v>0</v>
      </c>
      <c r="Q578" s="1">
        <v>0</v>
      </c>
      <c r="R578" s="1">
        <v>0</v>
      </c>
      <c r="S578" s="8" t="str">
        <f t="shared" si="26"/>
        <v>27299921536000100000555</v>
      </c>
      <c r="T578" s="14">
        <f>IFERROR(VLOOKUP(S578,AFIP!$F$2:$R$999999,12,FALSE),"NO")</f>
        <v>0</v>
      </c>
      <c r="U578" s="10" t="str">
        <f t="shared" si="27"/>
        <v>SI</v>
      </c>
      <c r="V578" s="10">
        <f>IFERROR(VLOOKUP(S578,AFIP!$F$2:$R$999999,13,FALSE),"NO")</f>
        <v>150000</v>
      </c>
      <c r="W578" s="1" t="str">
        <f t="shared" si="28"/>
        <v>SI</v>
      </c>
    </row>
    <row r="579" spans="1:23" hidden="1" x14ac:dyDescent="0.25">
      <c r="A579" s="1" t="s">
        <v>854</v>
      </c>
      <c r="B579" s="1" t="s">
        <v>855</v>
      </c>
      <c r="C579" s="1" t="s">
        <v>19</v>
      </c>
      <c r="D579" s="1">
        <v>23329302539</v>
      </c>
      <c r="E579" s="1" t="s">
        <v>63</v>
      </c>
      <c r="F579" s="1" t="s">
        <v>841</v>
      </c>
      <c r="G579" s="1" t="s">
        <v>53</v>
      </c>
      <c r="H579" s="1" t="s">
        <v>59</v>
      </c>
      <c r="I579" s="1" t="s">
        <v>856</v>
      </c>
      <c r="J579" s="1">
        <v>0</v>
      </c>
      <c r="K579" s="12">
        <v>1385505</v>
      </c>
      <c r="L579" s="1">
        <v>0</v>
      </c>
      <c r="M579" s="1">
        <v>1385505</v>
      </c>
      <c r="N579" s="12">
        <v>0</v>
      </c>
      <c r="O579" s="1">
        <v>0</v>
      </c>
      <c r="P579" s="1">
        <v>0</v>
      </c>
      <c r="Q579" s="1">
        <v>0</v>
      </c>
      <c r="R579" s="1">
        <v>0</v>
      </c>
      <c r="S579" s="8" t="str">
        <f t="shared" ref="S579:S601" si="29">D579&amp;I579</f>
        <v>23329302539000200000107</v>
      </c>
      <c r="T579" s="14">
        <f>IFERROR(VLOOKUP(S579,AFIP!$F$2:$R$999999,12,FALSE),"NO")</f>
        <v>0</v>
      </c>
      <c r="U579" s="10" t="str">
        <f t="shared" si="27"/>
        <v>SI</v>
      </c>
      <c r="V579" s="10">
        <f>IFERROR(VLOOKUP(S579,AFIP!$F$2:$R$999999,13,FALSE),"NO")</f>
        <v>1385505</v>
      </c>
      <c r="W579" s="1" t="str">
        <f t="shared" si="28"/>
        <v>SI</v>
      </c>
    </row>
    <row r="580" spans="1:23" hidden="1" x14ac:dyDescent="0.25">
      <c r="A580" s="1" t="s">
        <v>238</v>
      </c>
      <c r="B580" s="1" t="s">
        <v>223</v>
      </c>
      <c r="C580" s="1" t="s">
        <v>19</v>
      </c>
      <c r="D580" s="1">
        <v>20281730747</v>
      </c>
      <c r="E580" s="1" t="s">
        <v>63</v>
      </c>
      <c r="F580" s="1" t="s">
        <v>841</v>
      </c>
      <c r="G580" s="1" t="s">
        <v>53</v>
      </c>
      <c r="H580" s="1" t="s">
        <v>59</v>
      </c>
      <c r="I580" s="1" t="s">
        <v>857</v>
      </c>
      <c r="J580" s="1">
        <v>0</v>
      </c>
      <c r="K580" s="12">
        <v>907000</v>
      </c>
      <c r="L580" s="1">
        <v>0</v>
      </c>
      <c r="M580" s="1">
        <v>907000</v>
      </c>
      <c r="N580" s="12">
        <v>0</v>
      </c>
      <c r="O580" s="1">
        <v>0</v>
      </c>
      <c r="P580" s="1">
        <v>0</v>
      </c>
      <c r="Q580" s="1">
        <v>0</v>
      </c>
      <c r="R580" s="1">
        <v>0</v>
      </c>
      <c r="S580" s="8" t="str">
        <f t="shared" si="29"/>
        <v>20281730747000300000269</v>
      </c>
      <c r="T580" s="14">
        <f>IFERROR(VLOOKUP(S580,AFIP!$F$2:$R$999999,12,FALSE),"NO")</f>
        <v>0</v>
      </c>
      <c r="U580" s="10" t="str">
        <f t="shared" si="27"/>
        <v>SI</v>
      </c>
      <c r="V580" s="10">
        <f>IFERROR(VLOOKUP(S580,AFIP!$F$2:$R$999999,13,FALSE),"NO")</f>
        <v>907000</v>
      </c>
      <c r="W580" s="1" t="str">
        <f t="shared" si="28"/>
        <v>SI</v>
      </c>
    </row>
    <row r="581" spans="1:23" hidden="1" x14ac:dyDescent="0.25">
      <c r="A581" s="1" t="s">
        <v>238</v>
      </c>
      <c r="B581" s="1" t="s">
        <v>223</v>
      </c>
      <c r="C581" s="1" t="s">
        <v>19</v>
      </c>
      <c r="D581" s="1">
        <v>20281730747</v>
      </c>
      <c r="E581" s="1" t="s">
        <v>63</v>
      </c>
      <c r="F581" s="1" t="s">
        <v>841</v>
      </c>
      <c r="G581" s="1" t="s">
        <v>53</v>
      </c>
      <c r="H581" s="1" t="s">
        <v>59</v>
      </c>
      <c r="I581" s="1" t="s">
        <v>858</v>
      </c>
      <c r="J581" s="1">
        <v>0</v>
      </c>
      <c r="K581" s="12">
        <v>610800</v>
      </c>
      <c r="L581" s="1">
        <v>0</v>
      </c>
      <c r="M581" s="1">
        <v>610800</v>
      </c>
      <c r="N581" s="12">
        <v>0</v>
      </c>
      <c r="O581" s="1">
        <v>0</v>
      </c>
      <c r="P581" s="1">
        <v>0</v>
      </c>
      <c r="Q581" s="1">
        <v>0</v>
      </c>
      <c r="R581" s="1">
        <v>0</v>
      </c>
      <c r="S581" s="8" t="str">
        <f t="shared" si="29"/>
        <v>20281730747000300000270</v>
      </c>
      <c r="T581" s="14">
        <f>IFERROR(VLOOKUP(S581,AFIP!$F$2:$R$999999,12,FALSE),"NO")</f>
        <v>0</v>
      </c>
      <c r="U581" s="10" t="str">
        <f t="shared" si="27"/>
        <v>SI</v>
      </c>
      <c r="V581" s="10">
        <f>IFERROR(VLOOKUP(S581,AFIP!$F$2:$R$999999,13,FALSE),"NO")</f>
        <v>610800</v>
      </c>
      <c r="W581" s="1" t="str">
        <f t="shared" si="28"/>
        <v>SI</v>
      </c>
    </row>
    <row r="582" spans="1:23" x14ac:dyDescent="0.25">
      <c r="A582" s="1" t="s">
        <v>859</v>
      </c>
      <c r="B582" s="1" t="s">
        <v>860</v>
      </c>
      <c r="C582" s="1" t="s">
        <v>19</v>
      </c>
      <c r="D582" s="1">
        <v>20366558730</v>
      </c>
      <c r="E582" s="1" t="s">
        <v>20</v>
      </c>
      <c r="F582" s="1" t="s">
        <v>861</v>
      </c>
      <c r="G582" s="1" t="s">
        <v>53</v>
      </c>
      <c r="H582" s="1" t="s">
        <v>54</v>
      </c>
      <c r="I582" s="1" t="s">
        <v>862</v>
      </c>
      <c r="J582" s="1">
        <v>21</v>
      </c>
      <c r="K582" s="12">
        <v>639124</v>
      </c>
      <c r="L582" s="1">
        <v>528201.65</v>
      </c>
      <c r="M582" s="1">
        <v>0</v>
      </c>
      <c r="N582" s="12">
        <v>110922.35</v>
      </c>
      <c r="O582" s="1">
        <v>0</v>
      </c>
      <c r="P582" s="1">
        <v>0</v>
      </c>
      <c r="Q582" s="1">
        <v>0</v>
      </c>
      <c r="R582" s="1">
        <v>0</v>
      </c>
      <c r="S582" s="8" t="str">
        <f t="shared" si="29"/>
        <v>20366558730000300003706</v>
      </c>
      <c r="T582" s="14" t="str">
        <f>IFERROR(VLOOKUP(S582,AFIP!$F$2:$R$999999,12,FALSE),"NO")</f>
        <v>NO</v>
      </c>
      <c r="U582" s="10" t="str">
        <f t="shared" si="27"/>
        <v>NO</v>
      </c>
      <c r="V582" s="10" t="str">
        <f>IFERROR(VLOOKUP(S582,AFIP!$F$2:$R$999999,13,FALSE),"NO")</f>
        <v>NO</v>
      </c>
      <c r="W582" s="1" t="str">
        <f t="shared" si="28"/>
        <v>NO</v>
      </c>
    </row>
    <row r="583" spans="1:23" hidden="1" x14ac:dyDescent="0.25">
      <c r="A583" s="1" t="s">
        <v>76</v>
      </c>
      <c r="B583" s="1" t="s">
        <v>77</v>
      </c>
      <c r="C583" s="1" t="s">
        <v>19</v>
      </c>
      <c r="D583" s="1">
        <v>20128307746</v>
      </c>
      <c r="E583" s="1" t="s">
        <v>20</v>
      </c>
      <c r="F583" s="1" t="s">
        <v>861</v>
      </c>
      <c r="G583" s="1" t="s">
        <v>53</v>
      </c>
      <c r="H583" s="1" t="s">
        <v>54</v>
      </c>
      <c r="I583" s="1" t="s">
        <v>863</v>
      </c>
      <c r="J583" s="1">
        <v>21</v>
      </c>
      <c r="K583" s="12">
        <v>53546.13</v>
      </c>
      <c r="L583" s="1">
        <v>44253</v>
      </c>
      <c r="M583" s="1">
        <v>0</v>
      </c>
      <c r="N583" s="12">
        <v>9293.1299999999992</v>
      </c>
      <c r="O583" s="1">
        <v>0</v>
      </c>
      <c r="P583" s="1">
        <v>0</v>
      </c>
      <c r="Q583" s="1">
        <v>0</v>
      </c>
      <c r="R583" s="1">
        <v>0</v>
      </c>
      <c r="S583" s="8" t="str">
        <f t="shared" si="29"/>
        <v>20128307746000400024424</v>
      </c>
      <c r="T583" s="14">
        <f>IFERROR(VLOOKUP(S583,AFIP!$F$2:$R$999999,12,FALSE),"NO")</f>
        <v>9293.1299999999992</v>
      </c>
      <c r="U583" s="10" t="str">
        <f t="shared" si="27"/>
        <v>SI</v>
      </c>
      <c r="V583" s="10">
        <f>IFERROR(VLOOKUP(S583,AFIP!$F$2:$R$999999,13,FALSE),"NO")</f>
        <v>53546.13</v>
      </c>
      <c r="W583" s="1" t="str">
        <f t="shared" si="28"/>
        <v>SI</v>
      </c>
    </row>
    <row r="584" spans="1:23" hidden="1" x14ac:dyDescent="0.25">
      <c r="A584" s="1" t="s">
        <v>76</v>
      </c>
      <c r="B584" s="1" t="s">
        <v>77</v>
      </c>
      <c r="C584" s="1" t="s">
        <v>19</v>
      </c>
      <c r="D584" s="1">
        <v>20128307746</v>
      </c>
      <c r="E584" s="1" t="s">
        <v>20</v>
      </c>
      <c r="F584" s="1" t="s">
        <v>861</v>
      </c>
      <c r="G584" s="1" t="s">
        <v>53</v>
      </c>
      <c r="H584" s="1" t="s">
        <v>54</v>
      </c>
      <c r="I584" s="1" t="s">
        <v>864</v>
      </c>
      <c r="J584" s="1">
        <v>21</v>
      </c>
      <c r="K584" s="12">
        <v>10046.030000000001</v>
      </c>
      <c r="L584" s="1">
        <v>8302.5</v>
      </c>
      <c r="M584" s="1">
        <v>0</v>
      </c>
      <c r="N584" s="12">
        <v>1743.53</v>
      </c>
      <c r="O584" s="1">
        <v>0</v>
      </c>
      <c r="P584" s="1">
        <v>0</v>
      </c>
      <c r="Q584" s="1">
        <v>0</v>
      </c>
      <c r="R584" s="1">
        <v>0</v>
      </c>
      <c r="S584" s="8" t="str">
        <f t="shared" si="29"/>
        <v>20128307746000400024426</v>
      </c>
      <c r="T584" s="14">
        <f>IFERROR(VLOOKUP(S584,AFIP!$F$2:$R$999999,12,FALSE),"NO")</f>
        <v>1743.53</v>
      </c>
      <c r="U584" s="10" t="str">
        <f t="shared" si="27"/>
        <v>SI</v>
      </c>
      <c r="V584" s="10">
        <f>IFERROR(VLOOKUP(S584,AFIP!$F$2:$R$999999,13,FALSE),"NO")</f>
        <v>10046.030000000001</v>
      </c>
      <c r="W584" s="1" t="str">
        <f t="shared" si="28"/>
        <v>SI</v>
      </c>
    </row>
    <row r="585" spans="1:23" x14ac:dyDescent="0.25">
      <c r="A585" s="1" t="s">
        <v>807</v>
      </c>
      <c r="B585" s="1" t="s">
        <v>808</v>
      </c>
      <c r="C585" s="1" t="s">
        <v>19</v>
      </c>
      <c r="D585" s="1">
        <v>30714587753</v>
      </c>
      <c r="E585" s="1" t="s">
        <v>20</v>
      </c>
      <c r="F585" s="1" t="s">
        <v>861</v>
      </c>
      <c r="G585" s="1" t="s">
        <v>53</v>
      </c>
      <c r="H585" s="1" t="s">
        <v>54</v>
      </c>
      <c r="I585" s="1" t="s">
        <v>865</v>
      </c>
      <c r="J585" s="1">
        <v>21</v>
      </c>
      <c r="K585" s="12">
        <v>53750</v>
      </c>
      <c r="L585" s="1">
        <v>44421.49</v>
      </c>
      <c r="M585" s="1">
        <v>0</v>
      </c>
      <c r="N585" s="12">
        <v>9328.51</v>
      </c>
      <c r="O585" s="1">
        <v>0</v>
      </c>
      <c r="P585" s="1">
        <v>0</v>
      </c>
      <c r="Q585" s="1">
        <v>0</v>
      </c>
      <c r="R585" s="1">
        <v>0</v>
      </c>
      <c r="S585" s="8" t="str">
        <f t="shared" si="29"/>
        <v>30714587753000500003495</v>
      </c>
      <c r="T585" s="14" t="str">
        <f>IFERROR(VLOOKUP(S585,AFIP!$F$2:$R$999999,12,FALSE),"NO")</f>
        <v>NO</v>
      </c>
      <c r="U585" s="10" t="str">
        <f t="shared" si="27"/>
        <v>NO</v>
      </c>
      <c r="V585" s="10" t="str">
        <f>IFERROR(VLOOKUP(S585,AFIP!$F$2:$R$999999,13,FALSE),"NO")</f>
        <v>NO</v>
      </c>
      <c r="W585" s="1" t="str">
        <f t="shared" si="28"/>
        <v>NO</v>
      </c>
    </row>
    <row r="586" spans="1:23" x14ac:dyDescent="0.25">
      <c r="A586" s="1" t="s">
        <v>866</v>
      </c>
      <c r="B586" s="1" t="s">
        <v>867</v>
      </c>
      <c r="C586" s="1" t="s">
        <v>19</v>
      </c>
      <c r="D586" s="1">
        <v>20145588295</v>
      </c>
      <c r="E586" s="1" t="s">
        <v>20</v>
      </c>
      <c r="F586" s="1" t="s">
        <v>861</v>
      </c>
      <c r="G586" s="1" t="s">
        <v>53</v>
      </c>
      <c r="H586" s="1" t="s">
        <v>54</v>
      </c>
      <c r="I586" s="1" t="s">
        <v>868</v>
      </c>
      <c r="J586" s="1">
        <v>21</v>
      </c>
      <c r="K586" s="12">
        <v>10000</v>
      </c>
      <c r="L586" s="1">
        <v>8264.4599999999991</v>
      </c>
      <c r="M586" s="1">
        <v>0</v>
      </c>
      <c r="N586" s="12">
        <v>1735.54</v>
      </c>
      <c r="O586" s="1">
        <v>0</v>
      </c>
      <c r="P586" s="1">
        <v>0</v>
      </c>
      <c r="Q586" s="1">
        <v>0</v>
      </c>
      <c r="R586" s="1">
        <v>0</v>
      </c>
      <c r="S586" s="8" t="str">
        <f t="shared" si="29"/>
        <v>20145588295000700000316</v>
      </c>
      <c r="T586" s="14" t="str">
        <f>IFERROR(VLOOKUP(S586,AFIP!$F$2:$R$999999,12,FALSE),"NO")</f>
        <v>NO</v>
      </c>
      <c r="U586" s="10" t="str">
        <f t="shared" si="27"/>
        <v>NO</v>
      </c>
      <c r="V586" s="10" t="str">
        <f>IFERROR(VLOOKUP(S586,AFIP!$F$2:$R$999999,13,FALSE),"NO")</f>
        <v>NO</v>
      </c>
      <c r="W586" s="1" t="str">
        <f t="shared" si="28"/>
        <v>NO</v>
      </c>
    </row>
    <row r="587" spans="1:23" x14ac:dyDescent="0.25">
      <c r="A587" s="1" t="s">
        <v>35</v>
      </c>
      <c r="B587" s="1" t="s">
        <v>36</v>
      </c>
      <c r="C587" s="1" t="s">
        <v>19</v>
      </c>
      <c r="D587" s="1">
        <v>33522734549</v>
      </c>
      <c r="E587" s="1" t="s">
        <v>20</v>
      </c>
      <c r="F587" s="1" t="s">
        <v>861</v>
      </c>
      <c r="G587" s="1" t="s">
        <v>53</v>
      </c>
      <c r="H587" s="1" t="s">
        <v>54</v>
      </c>
      <c r="I587" s="1" t="s">
        <v>869</v>
      </c>
      <c r="J587" s="1">
        <v>21</v>
      </c>
      <c r="K587" s="12">
        <v>30336333.370000001</v>
      </c>
      <c r="L587" s="1">
        <v>23981291.210000001</v>
      </c>
      <c r="M587" s="1">
        <v>0</v>
      </c>
      <c r="N587" s="12">
        <v>5036071.1399999997</v>
      </c>
      <c r="O587" s="1">
        <v>719438.74</v>
      </c>
      <c r="P587" s="1">
        <v>599532.27</v>
      </c>
      <c r="Q587" s="1">
        <v>0.01</v>
      </c>
      <c r="R587" s="1">
        <v>0</v>
      </c>
      <c r="S587" s="8" t="str">
        <f t="shared" si="29"/>
        <v>33522734549002100302691</v>
      </c>
      <c r="T587" s="14" t="str">
        <f>IFERROR(VLOOKUP(S587,AFIP!$F$2:$R$999999,12,FALSE),"NO")</f>
        <v>NO</v>
      </c>
      <c r="U587" s="10" t="str">
        <f t="shared" si="27"/>
        <v>NO</v>
      </c>
      <c r="V587" s="10" t="str">
        <f>IFERROR(VLOOKUP(S587,AFIP!$F$2:$R$999999,13,FALSE),"NO")</f>
        <v>NO</v>
      </c>
      <c r="W587" s="1" t="str">
        <f t="shared" si="28"/>
        <v>NO</v>
      </c>
    </row>
    <row r="588" spans="1:23" x14ac:dyDescent="0.25">
      <c r="A588" s="1" t="s">
        <v>35</v>
      </c>
      <c r="B588" s="1" t="s">
        <v>36</v>
      </c>
      <c r="C588" s="1" t="s">
        <v>19</v>
      </c>
      <c r="D588" s="1">
        <v>33522734549</v>
      </c>
      <c r="E588" s="1" t="s">
        <v>20</v>
      </c>
      <c r="F588" s="1" t="s">
        <v>861</v>
      </c>
      <c r="G588" s="1" t="s">
        <v>53</v>
      </c>
      <c r="H588" s="1" t="s">
        <v>54</v>
      </c>
      <c r="I588" s="1" t="s">
        <v>870</v>
      </c>
      <c r="J588" s="1">
        <v>21</v>
      </c>
      <c r="K588" s="12">
        <v>2670026.27</v>
      </c>
      <c r="L588" s="1">
        <v>2110692.7000000002</v>
      </c>
      <c r="M588" s="1">
        <v>0</v>
      </c>
      <c r="N588" s="12">
        <v>443245.47</v>
      </c>
      <c r="O588" s="1">
        <v>63320.78</v>
      </c>
      <c r="P588" s="1">
        <v>52767.32</v>
      </c>
      <c r="Q588" s="1">
        <v>0</v>
      </c>
      <c r="R588" s="1">
        <v>0</v>
      </c>
      <c r="S588" s="8" t="str">
        <f t="shared" si="29"/>
        <v>33522734549002100302692</v>
      </c>
      <c r="T588" s="14" t="str">
        <f>IFERROR(VLOOKUP(S588,AFIP!$F$2:$R$999999,12,FALSE),"NO")</f>
        <v>NO</v>
      </c>
      <c r="U588" s="10" t="str">
        <f t="shared" si="27"/>
        <v>NO</v>
      </c>
      <c r="V588" s="10" t="str">
        <f>IFERROR(VLOOKUP(S588,AFIP!$F$2:$R$999999,13,FALSE),"NO")</f>
        <v>NO</v>
      </c>
      <c r="W588" s="1" t="str">
        <f t="shared" si="28"/>
        <v>NO</v>
      </c>
    </row>
    <row r="589" spans="1:23" x14ac:dyDescent="0.25">
      <c r="A589" s="1" t="s">
        <v>35</v>
      </c>
      <c r="B589" s="1" t="s">
        <v>36</v>
      </c>
      <c r="C589" s="1" t="s">
        <v>19</v>
      </c>
      <c r="D589" s="1">
        <v>33522734549</v>
      </c>
      <c r="E589" s="1" t="s">
        <v>20</v>
      </c>
      <c r="F589" s="1" t="s">
        <v>861</v>
      </c>
      <c r="G589" s="1" t="s">
        <v>53</v>
      </c>
      <c r="H589" s="1" t="s">
        <v>54</v>
      </c>
      <c r="I589" s="1" t="s">
        <v>871</v>
      </c>
      <c r="J589" s="1">
        <v>21</v>
      </c>
      <c r="K589" s="12">
        <v>11606875.66</v>
      </c>
      <c r="L589" s="1">
        <v>9175395.7899999991</v>
      </c>
      <c r="M589" s="1">
        <v>0</v>
      </c>
      <c r="N589" s="12">
        <v>1926833.12</v>
      </c>
      <c r="O589" s="1">
        <v>275261.87</v>
      </c>
      <c r="P589" s="1">
        <v>229384.89</v>
      </c>
      <c r="Q589" s="1">
        <v>-0.01</v>
      </c>
      <c r="R589" s="1">
        <v>0</v>
      </c>
      <c r="S589" s="8" t="str">
        <f t="shared" si="29"/>
        <v>33522734549002100302693</v>
      </c>
      <c r="T589" s="14" t="str">
        <f>IFERROR(VLOOKUP(S589,AFIP!$F$2:$R$999999,12,FALSE),"NO")</f>
        <v>NO</v>
      </c>
      <c r="U589" s="10" t="str">
        <f t="shared" si="27"/>
        <v>NO</v>
      </c>
      <c r="V589" s="10" t="str">
        <f>IFERROR(VLOOKUP(S589,AFIP!$F$2:$R$999999,13,FALSE),"NO")</f>
        <v>NO</v>
      </c>
      <c r="W589" s="1" t="str">
        <f t="shared" si="28"/>
        <v>NO</v>
      </c>
    </row>
    <row r="590" spans="1:23" x14ac:dyDescent="0.25">
      <c r="A590" s="1" t="s">
        <v>33</v>
      </c>
      <c r="B590" s="1" t="s">
        <v>34</v>
      </c>
      <c r="C590" s="1" t="s">
        <v>19</v>
      </c>
      <c r="D590" s="1">
        <v>33708336969</v>
      </c>
      <c r="E590" s="1" t="s">
        <v>20</v>
      </c>
      <c r="F590" s="1" t="s">
        <v>861</v>
      </c>
      <c r="G590" s="1" t="s">
        <v>53</v>
      </c>
      <c r="H590" s="1" t="s">
        <v>54</v>
      </c>
      <c r="I590" s="1" t="s">
        <v>1188</v>
      </c>
      <c r="J590" s="1">
        <v>21</v>
      </c>
      <c r="K590" s="12">
        <v>8000</v>
      </c>
      <c r="L590" s="1">
        <v>6611.57</v>
      </c>
      <c r="M590" s="1">
        <v>0</v>
      </c>
      <c r="N590" s="12">
        <v>1388.43</v>
      </c>
      <c r="O590" s="1">
        <v>0</v>
      </c>
      <c r="P590" s="1">
        <v>0</v>
      </c>
      <c r="Q590" s="1">
        <v>0</v>
      </c>
      <c r="R590" s="1">
        <v>0</v>
      </c>
      <c r="S590" s="8" t="str">
        <f t="shared" si="29"/>
        <v>33708336969003600012351</v>
      </c>
      <c r="T590" s="14" t="str">
        <f>IFERROR(VLOOKUP(S590,AFIP!$F$2:$R$999999,12,FALSE),"NO")</f>
        <v>NO</v>
      </c>
      <c r="U590" s="10" t="str">
        <f t="shared" si="27"/>
        <v>NO</v>
      </c>
      <c r="V590" s="10" t="str">
        <f>IFERROR(VLOOKUP(S590,AFIP!$F$2:$R$999999,13,FALSE),"NO")</f>
        <v>NO</v>
      </c>
      <c r="W590" s="1" t="str">
        <f t="shared" si="28"/>
        <v>NO</v>
      </c>
    </row>
    <row r="591" spans="1:23" hidden="1" x14ac:dyDescent="0.25">
      <c r="A591" s="1" t="s">
        <v>872</v>
      </c>
      <c r="B591" s="1" t="s">
        <v>873</v>
      </c>
      <c r="C591" s="1" t="s">
        <v>19</v>
      </c>
      <c r="D591" s="1">
        <v>20214136717</v>
      </c>
      <c r="E591" s="1" t="s">
        <v>20</v>
      </c>
      <c r="F591" s="1" t="s">
        <v>874</v>
      </c>
      <c r="G591" s="1" t="s">
        <v>53</v>
      </c>
      <c r="H591" s="1" t="s">
        <v>54</v>
      </c>
      <c r="I591" s="1" t="s">
        <v>875</v>
      </c>
      <c r="J591" s="1">
        <v>21</v>
      </c>
      <c r="K591" s="12">
        <v>139870.9</v>
      </c>
      <c r="L591" s="1">
        <v>115595.79</v>
      </c>
      <c r="M591" s="1">
        <v>0</v>
      </c>
      <c r="N591" s="12">
        <v>24275.11</v>
      </c>
      <c r="O591" s="1">
        <v>0</v>
      </c>
      <c r="P591" s="1">
        <v>0</v>
      </c>
      <c r="Q591" s="1">
        <v>0</v>
      </c>
      <c r="R591" s="1">
        <v>0</v>
      </c>
      <c r="S591" s="8" t="str">
        <f t="shared" si="29"/>
        <v>20214136717000600003955</v>
      </c>
      <c r="T591" s="14">
        <f>IFERROR(VLOOKUP(S591,AFIP!$F$2:$R$999999,12,FALSE),"NO")</f>
        <v>24275.119999999999</v>
      </c>
      <c r="U591" s="10" t="str">
        <f t="shared" si="27"/>
        <v>NO</v>
      </c>
      <c r="V591" s="10">
        <f>IFERROR(VLOOKUP(S591,AFIP!$F$2:$R$999999,13,FALSE),"NO")</f>
        <v>139870.91</v>
      </c>
      <c r="W591" s="1" t="str">
        <f t="shared" si="28"/>
        <v>NO</v>
      </c>
    </row>
    <row r="592" spans="1:23" x14ac:dyDescent="0.25">
      <c r="A592" s="1" t="s">
        <v>99</v>
      </c>
      <c r="B592" s="1" t="s">
        <v>100</v>
      </c>
      <c r="C592" s="1" t="s">
        <v>19</v>
      </c>
      <c r="D592" s="1">
        <v>30707787364</v>
      </c>
      <c r="E592" s="1" t="s">
        <v>20</v>
      </c>
      <c r="F592" s="1" t="s">
        <v>874</v>
      </c>
      <c r="G592" s="1" t="s">
        <v>53</v>
      </c>
      <c r="H592" s="1" t="s">
        <v>54</v>
      </c>
      <c r="I592" s="1" t="s">
        <v>1189</v>
      </c>
      <c r="J592" s="1">
        <v>21</v>
      </c>
      <c r="K592" s="12">
        <v>618489.37</v>
      </c>
      <c r="L592" s="1">
        <v>511148.24</v>
      </c>
      <c r="M592" s="1">
        <v>0</v>
      </c>
      <c r="N592" s="12">
        <v>107341.13</v>
      </c>
      <c r="O592" s="1">
        <v>0</v>
      </c>
      <c r="P592" s="1">
        <v>0</v>
      </c>
      <c r="Q592" s="1">
        <v>0</v>
      </c>
      <c r="R592" s="1">
        <v>0</v>
      </c>
      <c r="S592" s="8" t="str">
        <f t="shared" si="29"/>
        <v>30707787364001700002733</v>
      </c>
      <c r="T592" s="14" t="str">
        <f>IFERROR(VLOOKUP(S592,AFIP!$F$2:$R$999999,12,FALSE),"NO")</f>
        <v>NO</v>
      </c>
      <c r="U592" s="10" t="str">
        <f t="shared" si="27"/>
        <v>NO</v>
      </c>
      <c r="V592" s="10" t="str">
        <f>IFERROR(VLOOKUP(S592,AFIP!$F$2:$R$999999,13,FALSE),"NO")</f>
        <v>NO</v>
      </c>
      <c r="W592" s="1" t="str">
        <f t="shared" si="28"/>
        <v>NO</v>
      </c>
    </row>
    <row r="593" spans="1:23" x14ac:dyDescent="0.25">
      <c r="A593" s="1" t="s">
        <v>99</v>
      </c>
      <c r="B593" s="1" t="s">
        <v>100</v>
      </c>
      <c r="C593" s="1" t="s">
        <v>19</v>
      </c>
      <c r="D593" s="1">
        <v>30707787364</v>
      </c>
      <c r="E593" s="1" t="s">
        <v>20</v>
      </c>
      <c r="F593" s="1" t="s">
        <v>874</v>
      </c>
      <c r="G593" s="1" t="s">
        <v>53</v>
      </c>
      <c r="H593" s="1" t="s">
        <v>54</v>
      </c>
      <c r="I593" s="1" t="s">
        <v>1189</v>
      </c>
      <c r="J593" s="1">
        <v>0</v>
      </c>
      <c r="K593" s="12">
        <v>107037.23</v>
      </c>
      <c r="L593" s="1">
        <v>0</v>
      </c>
      <c r="M593" s="1">
        <v>107037.23</v>
      </c>
      <c r="N593" s="12">
        <v>0</v>
      </c>
      <c r="O593" s="1">
        <v>0</v>
      </c>
      <c r="P593" s="1">
        <v>0</v>
      </c>
      <c r="Q593" s="1">
        <v>0</v>
      </c>
      <c r="R593" s="1">
        <v>0</v>
      </c>
      <c r="S593" s="8" t="str">
        <f t="shared" si="29"/>
        <v>30707787364001700002733</v>
      </c>
      <c r="T593" s="14" t="str">
        <f>IFERROR(VLOOKUP(S593,AFIP!$F$2:$R$999999,12,FALSE),"NO")</f>
        <v>NO</v>
      </c>
      <c r="U593" s="10" t="str">
        <f t="shared" si="27"/>
        <v>NO</v>
      </c>
      <c r="V593" s="10" t="str">
        <f>IFERROR(VLOOKUP(S593,AFIP!$F$2:$R$999999,13,FALSE),"NO")</f>
        <v>NO</v>
      </c>
      <c r="W593" s="1" t="str">
        <f t="shared" si="28"/>
        <v>NO</v>
      </c>
    </row>
    <row r="594" spans="1:23" hidden="1" x14ac:dyDescent="0.25">
      <c r="A594" s="1" t="s">
        <v>426</v>
      </c>
      <c r="B594" s="1" t="s">
        <v>427</v>
      </c>
      <c r="C594" s="1" t="s">
        <v>19</v>
      </c>
      <c r="D594" s="1">
        <v>30703088534</v>
      </c>
      <c r="E594" s="1" t="s">
        <v>20</v>
      </c>
      <c r="F594" s="1" t="s">
        <v>874</v>
      </c>
      <c r="G594" s="1" t="s">
        <v>53</v>
      </c>
      <c r="H594" s="1" t="s">
        <v>54</v>
      </c>
      <c r="I594" s="1" t="s">
        <v>876</v>
      </c>
      <c r="J594" s="1">
        <v>21</v>
      </c>
      <c r="K594" s="12">
        <v>1490491.46</v>
      </c>
      <c r="L594" s="1">
        <v>1202009.24</v>
      </c>
      <c r="M594" s="1">
        <v>0</v>
      </c>
      <c r="N594" s="12">
        <v>252421.94</v>
      </c>
      <c r="O594" s="1">
        <v>36060.28</v>
      </c>
      <c r="P594" s="1">
        <v>0</v>
      </c>
      <c r="Q594" s="1">
        <v>0</v>
      </c>
      <c r="R594" s="1">
        <v>0</v>
      </c>
      <c r="S594" s="8" t="str">
        <f t="shared" si="29"/>
        <v>30703088534006100474717</v>
      </c>
      <c r="T594" s="14">
        <f>IFERROR(VLOOKUP(S594,AFIP!$F$2:$R$999999,12,FALSE),"NO")</f>
        <v>252421.94</v>
      </c>
      <c r="U594" s="10" t="str">
        <f t="shared" si="27"/>
        <v>SI</v>
      </c>
      <c r="V594" s="10">
        <f>IFERROR(VLOOKUP(S594,AFIP!$F$2:$R$999999,13,FALSE),"NO")</f>
        <v>1490491.46</v>
      </c>
      <c r="W594" s="1" t="str">
        <f t="shared" si="28"/>
        <v>SI</v>
      </c>
    </row>
    <row r="595" spans="1:23" hidden="1" x14ac:dyDescent="0.25">
      <c r="A595" s="1" t="s">
        <v>610</v>
      </c>
      <c r="B595" s="1" t="s">
        <v>611</v>
      </c>
      <c r="C595" s="1" t="s">
        <v>19</v>
      </c>
      <c r="D595" s="1">
        <v>20373299791</v>
      </c>
      <c r="E595" s="1" t="s">
        <v>63</v>
      </c>
      <c r="F595" s="1" t="s">
        <v>874</v>
      </c>
      <c r="G595" s="1" t="s">
        <v>53</v>
      </c>
      <c r="H595" s="1" t="s">
        <v>59</v>
      </c>
      <c r="I595" s="1" t="s">
        <v>877</v>
      </c>
      <c r="J595" s="1">
        <v>0</v>
      </c>
      <c r="K595" s="12">
        <v>125000</v>
      </c>
      <c r="L595" s="1">
        <v>0</v>
      </c>
      <c r="M595" s="1">
        <v>125000</v>
      </c>
      <c r="N595" s="12">
        <v>0</v>
      </c>
      <c r="O595" s="1">
        <v>0</v>
      </c>
      <c r="P595" s="1">
        <v>0</v>
      </c>
      <c r="Q595" s="1">
        <v>0</v>
      </c>
      <c r="R595" s="1">
        <v>0</v>
      </c>
      <c r="S595" s="8" t="str">
        <f t="shared" si="29"/>
        <v>20373299791000100000404</v>
      </c>
      <c r="T595" s="14">
        <f>IFERROR(VLOOKUP(S595,AFIP!$F$2:$R$999999,12,FALSE),"NO")</f>
        <v>0</v>
      </c>
      <c r="U595" s="10" t="str">
        <f t="shared" si="27"/>
        <v>SI</v>
      </c>
      <c r="V595" s="10">
        <f>IFERROR(VLOOKUP(S595,AFIP!$F$2:$R$999999,13,FALSE),"NO")</f>
        <v>125000</v>
      </c>
      <c r="W595" s="1" t="str">
        <f t="shared" si="28"/>
        <v>SI</v>
      </c>
    </row>
    <row r="596" spans="1:23" hidden="1" x14ac:dyDescent="0.25">
      <c r="A596" s="1" t="s">
        <v>274</v>
      </c>
      <c r="B596" s="1" t="s">
        <v>275</v>
      </c>
      <c r="C596" s="1" t="s">
        <v>19</v>
      </c>
      <c r="D596" s="1">
        <v>20335001312</v>
      </c>
      <c r="E596" s="1" t="s">
        <v>20</v>
      </c>
      <c r="F596" s="1" t="s">
        <v>878</v>
      </c>
      <c r="G596" s="1" t="s">
        <v>53</v>
      </c>
      <c r="H596" s="1" t="s">
        <v>54</v>
      </c>
      <c r="I596" s="1" t="s">
        <v>879</v>
      </c>
      <c r="J596" s="1">
        <v>21</v>
      </c>
      <c r="K596" s="12">
        <v>4678500.01</v>
      </c>
      <c r="L596" s="1">
        <v>3866528.93</v>
      </c>
      <c r="M596" s="1">
        <v>0</v>
      </c>
      <c r="N596" s="12">
        <v>811971.08</v>
      </c>
      <c r="O596" s="1">
        <v>0</v>
      </c>
      <c r="P596" s="1">
        <v>0</v>
      </c>
      <c r="Q596" s="1">
        <v>0</v>
      </c>
      <c r="R596" s="1">
        <v>0</v>
      </c>
      <c r="S596" s="8" t="str">
        <f t="shared" si="29"/>
        <v>20335001312000300001660</v>
      </c>
      <c r="T596" s="14">
        <f>IFERROR(VLOOKUP(S596,AFIP!$F$2:$R$999999,12,FALSE),"NO")</f>
        <v>811971.08</v>
      </c>
      <c r="U596" s="10" t="str">
        <f t="shared" si="27"/>
        <v>SI</v>
      </c>
      <c r="V596" s="10">
        <f>IFERROR(VLOOKUP(S596,AFIP!$F$2:$R$999999,13,FALSE),"NO")</f>
        <v>4678500.01</v>
      </c>
      <c r="W596" s="1" t="str">
        <f t="shared" si="28"/>
        <v>SI</v>
      </c>
    </row>
    <row r="597" spans="1:23" x14ac:dyDescent="0.25">
      <c r="A597" s="1" t="s">
        <v>1190</v>
      </c>
      <c r="B597" s="1" t="s">
        <v>1191</v>
      </c>
      <c r="C597" s="1" t="s">
        <v>19</v>
      </c>
      <c r="D597" s="1">
        <v>30716472716</v>
      </c>
      <c r="E597" s="1" t="s">
        <v>20</v>
      </c>
      <c r="F597" s="1" t="s">
        <v>878</v>
      </c>
      <c r="G597" s="1" t="s">
        <v>53</v>
      </c>
      <c r="H597" s="1" t="s">
        <v>54</v>
      </c>
      <c r="I597" s="1" t="s">
        <v>1192</v>
      </c>
      <c r="J597" s="1">
        <v>21</v>
      </c>
      <c r="K597" s="12">
        <v>71798.460000000006</v>
      </c>
      <c r="L597" s="1">
        <v>59337.57</v>
      </c>
      <c r="M597" s="1">
        <v>0</v>
      </c>
      <c r="N597" s="12">
        <v>12460.89</v>
      </c>
      <c r="O597" s="1">
        <v>0</v>
      </c>
      <c r="P597" s="1">
        <v>0</v>
      </c>
      <c r="Q597" s="1">
        <v>0</v>
      </c>
      <c r="R597" s="1">
        <v>0</v>
      </c>
      <c r="S597" s="8" t="str">
        <f t="shared" si="29"/>
        <v>30716472716002300003750</v>
      </c>
      <c r="T597" s="14" t="str">
        <f>IFERROR(VLOOKUP(S597,AFIP!$F$2:$R$999999,12,FALSE),"NO")</f>
        <v>NO</v>
      </c>
      <c r="U597" s="10" t="str">
        <f t="shared" si="27"/>
        <v>NO</v>
      </c>
      <c r="V597" s="10" t="str">
        <f>IFERROR(VLOOKUP(S597,AFIP!$F$2:$R$999999,13,FALSE),"NO")</f>
        <v>NO</v>
      </c>
      <c r="W597" s="1" t="str">
        <f t="shared" si="28"/>
        <v>NO</v>
      </c>
    </row>
    <row r="598" spans="1:23" x14ac:dyDescent="0.25">
      <c r="A598" s="1" t="s">
        <v>1190</v>
      </c>
      <c r="B598" s="1" t="s">
        <v>1191</v>
      </c>
      <c r="C598" s="1" t="s">
        <v>19</v>
      </c>
      <c r="D598" s="1">
        <v>30716472716</v>
      </c>
      <c r="E598" s="1" t="s">
        <v>20</v>
      </c>
      <c r="F598" s="1" t="s">
        <v>878</v>
      </c>
      <c r="G598" s="1" t="s">
        <v>53</v>
      </c>
      <c r="H598" s="1" t="s">
        <v>54</v>
      </c>
      <c r="I598" s="1" t="s">
        <v>1192</v>
      </c>
      <c r="J598" s="1">
        <v>0</v>
      </c>
      <c r="K598" s="12">
        <v>11209.56</v>
      </c>
      <c r="L598" s="1">
        <v>0</v>
      </c>
      <c r="M598" s="1">
        <v>11209.56</v>
      </c>
      <c r="N598" s="12">
        <v>0</v>
      </c>
      <c r="O598" s="1">
        <v>0</v>
      </c>
      <c r="P598" s="1">
        <v>0</v>
      </c>
      <c r="Q598" s="1">
        <v>0</v>
      </c>
      <c r="R598" s="1">
        <v>0</v>
      </c>
      <c r="S598" s="8" t="str">
        <f t="shared" si="29"/>
        <v>30716472716002300003750</v>
      </c>
      <c r="T598" s="14" t="str">
        <f>IFERROR(VLOOKUP(S598,AFIP!$F$2:$R$999999,12,FALSE),"NO")</f>
        <v>NO</v>
      </c>
      <c r="U598" s="10" t="str">
        <f t="shared" si="27"/>
        <v>NO</v>
      </c>
      <c r="V598" s="10" t="str">
        <f>IFERROR(VLOOKUP(S598,AFIP!$F$2:$R$999999,13,FALSE),"NO")</f>
        <v>NO</v>
      </c>
      <c r="W598" s="1" t="str">
        <f t="shared" si="28"/>
        <v>NO</v>
      </c>
    </row>
    <row r="599" spans="1:23" hidden="1" x14ac:dyDescent="0.25">
      <c r="A599" s="1" t="s">
        <v>33</v>
      </c>
      <c r="B599" s="1" t="s">
        <v>34</v>
      </c>
      <c r="C599" s="1" t="s">
        <v>19</v>
      </c>
      <c r="D599" s="1">
        <v>33708336969</v>
      </c>
      <c r="E599" s="1" t="s">
        <v>20</v>
      </c>
      <c r="F599" s="1" t="s">
        <v>878</v>
      </c>
      <c r="G599" s="1" t="s">
        <v>53</v>
      </c>
      <c r="H599" s="1" t="s">
        <v>54</v>
      </c>
      <c r="I599" s="1" t="s">
        <v>880</v>
      </c>
      <c r="J599" s="1">
        <v>21</v>
      </c>
      <c r="K599" s="12">
        <v>1316048.28</v>
      </c>
      <c r="L599" s="1">
        <v>1087643.21</v>
      </c>
      <c r="M599" s="1">
        <v>0</v>
      </c>
      <c r="N599" s="12">
        <v>228405.07</v>
      </c>
      <c r="O599" s="1">
        <v>0</v>
      </c>
      <c r="P599" s="1">
        <v>0</v>
      </c>
      <c r="Q599" s="1">
        <v>0</v>
      </c>
      <c r="R599" s="1">
        <v>0</v>
      </c>
      <c r="S599" s="8" t="str">
        <f t="shared" si="29"/>
        <v>33708336969002700030061</v>
      </c>
      <c r="T599" s="14">
        <f>IFERROR(VLOOKUP(S599,AFIP!$F$2:$R$999999,12,FALSE),"NO")</f>
        <v>228405.07</v>
      </c>
      <c r="U599" s="10" t="str">
        <f t="shared" si="27"/>
        <v>SI</v>
      </c>
      <c r="V599" s="10">
        <f>IFERROR(VLOOKUP(S599,AFIP!$F$2:$R$999999,13,FALSE),"NO")</f>
        <v>1474981.06</v>
      </c>
      <c r="W599" s="1" t="str">
        <f t="shared" si="28"/>
        <v>NO</v>
      </c>
    </row>
    <row r="600" spans="1:23" hidden="1" x14ac:dyDescent="0.25">
      <c r="A600" s="1" t="s">
        <v>33</v>
      </c>
      <c r="B600" s="1" t="s">
        <v>34</v>
      </c>
      <c r="C600" s="1" t="s">
        <v>19</v>
      </c>
      <c r="D600" s="1">
        <v>33708336969</v>
      </c>
      <c r="E600" s="1" t="s">
        <v>20</v>
      </c>
      <c r="F600" s="1" t="s">
        <v>878</v>
      </c>
      <c r="G600" s="1" t="s">
        <v>53</v>
      </c>
      <c r="H600" s="1" t="s">
        <v>54</v>
      </c>
      <c r="I600" s="1" t="s">
        <v>880</v>
      </c>
      <c r="J600" s="1">
        <v>0</v>
      </c>
      <c r="K600" s="12">
        <v>158932.78</v>
      </c>
      <c r="L600" s="1">
        <v>0</v>
      </c>
      <c r="M600" s="1">
        <v>158932.78</v>
      </c>
      <c r="N600" s="12">
        <v>0</v>
      </c>
      <c r="O600" s="1">
        <v>0</v>
      </c>
      <c r="P600" s="1">
        <v>0</v>
      </c>
      <c r="Q600" s="1">
        <v>0</v>
      </c>
      <c r="R600" s="1">
        <v>0</v>
      </c>
      <c r="S600" s="8" t="str">
        <f t="shared" si="29"/>
        <v>33708336969002700030061</v>
      </c>
      <c r="T600" s="14">
        <f>IFERROR(VLOOKUP(S600,AFIP!$F$2:$R$999999,12,FALSE),"NO")</f>
        <v>228405.07</v>
      </c>
      <c r="U600" s="10" t="str">
        <f t="shared" si="27"/>
        <v>NO</v>
      </c>
      <c r="V600" s="10">
        <f>IFERROR(VLOOKUP(S600,AFIP!$F$2:$R$999999,13,FALSE),"NO")</f>
        <v>1474981.06</v>
      </c>
      <c r="W600" s="1" t="str">
        <f t="shared" si="28"/>
        <v>NO</v>
      </c>
    </row>
    <row r="601" spans="1:23" x14ac:dyDescent="0.25">
      <c r="A601" s="1" t="s">
        <v>1193</v>
      </c>
      <c r="B601" s="1" t="s">
        <v>1194</v>
      </c>
      <c r="C601" s="1" t="s">
        <v>19</v>
      </c>
      <c r="D601" s="1">
        <v>23179973219</v>
      </c>
      <c r="E601" s="1" t="s">
        <v>63</v>
      </c>
      <c r="F601" s="1" t="s">
        <v>878</v>
      </c>
      <c r="G601" s="1" t="s">
        <v>53</v>
      </c>
      <c r="H601" s="1" t="s">
        <v>59</v>
      </c>
      <c r="I601" s="1" t="s">
        <v>1195</v>
      </c>
      <c r="J601" s="1">
        <v>0</v>
      </c>
      <c r="K601" s="12">
        <v>72000</v>
      </c>
      <c r="L601" s="1">
        <v>0</v>
      </c>
      <c r="M601" s="1">
        <v>72000</v>
      </c>
      <c r="N601" s="12">
        <v>0</v>
      </c>
      <c r="O601" s="1">
        <v>0</v>
      </c>
      <c r="P601" s="1">
        <v>0</v>
      </c>
      <c r="Q601" s="1">
        <v>0</v>
      </c>
      <c r="R601" s="1">
        <v>0</v>
      </c>
      <c r="S601" s="8" t="str">
        <f t="shared" si="29"/>
        <v>23179973219000200001053</v>
      </c>
      <c r="T601" s="14" t="str">
        <f>IFERROR(VLOOKUP(S601,AFIP!$F$2:$R$999999,12,FALSE),"NO")</f>
        <v>NO</v>
      </c>
      <c r="U601" s="10" t="str">
        <f t="shared" si="27"/>
        <v>NO</v>
      </c>
      <c r="V601" s="10" t="str">
        <f>IFERROR(VLOOKUP(S601,AFIP!$F$2:$R$999999,13,FALSE),"NO")</f>
        <v>NO</v>
      </c>
      <c r="W601" s="1" t="str">
        <f t="shared" si="28"/>
        <v>NO</v>
      </c>
    </row>
  </sheetData>
  <autoFilter ref="A1:W601" xr:uid="{A4CB3BF3-C832-4F2B-B310-540F07E79035}">
    <filterColumn colId="19">
      <filters>
        <filter val="NO"/>
      </filters>
    </filterColumn>
  </autoFilter>
  <conditionalFormatting sqref="U2:U601">
    <cfRule type="cellIs" dxfId="7" priority="3" operator="equal">
      <formula>"SI"</formula>
    </cfRule>
    <cfRule type="cellIs" dxfId="6" priority="4" operator="equal">
      <formula>"NO"</formula>
    </cfRule>
  </conditionalFormatting>
  <conditionalFormatting sqref="W2:W601">
    <cfRule type="cellIs" dxfId="5" priority="1" operator="equal">
      <formula>"SI"</formula>
    </cfRule>
    <cfRule type="cellIs" dxfId="4" priority="2" operator="equal">
      <formula>"NO"</formula>
    </cfRule>
  </conditionalFormatting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AB69-D158-476B-AEB4-F75502AD8CC2}">
  <dimension ref="A1:R540"/>
  <sheetViews>
    <sheetView workbookViewId="0">
      <selection activeCell="A2" sqref="A2:XFD2"/>
    </sheetView>
  </sheetViews>
  <sheetFormatPr baseColWidth="10" defaultRowHeight="10.8" x14ac:dyDescent="0.25"/>
  <cols>
    <col min="1" max="1" width="8.875" style="1" bestFit="1" customWidth="1"/>
    <col min="2" max="2" width="14" style="1" bestFit="1" customWidth="1"/>
    <col min="3" max="3" width="11" style="1" bestFit="1" customWidth="1"/>
    <col min="4" max="4" width="10.875" style="1" bestFit="1" customWidth="1"/>
    <col min="5" max="5" width="11.375" style="8" bestFit="1" customWidth="1"/>
    <col min="6" max="6" width="21.25" style="8" bestFit="1" customWidth="1"/>
    <col min="7" max="7" width="13.125" style="1" bestFit="1" customWidth="1"/>
    <col min="8" max="8" width="11.875" style="1" bestFit="1" customWidth="1"/>
    <col min="9" max="9" width="11.75" style="1" bestFit="1" customWidth="1"/>
    <col min="10" max="10" width="46" style="1" customWidth="1"/>
    <col min="11" max="11" width="9.125" style="1" bestFit="1" customWidth="1"/>
    <col min="12" max="12" width="6.375" style="1" bestFit="1" customWidth="1"/>
    <col min="13" max="13" width="13.125" style="1" bestFit="1" customWidth="1"/>
    <col min="14" max="14" width="15.25" style="1" bestFit="1" customWidth="1"/>
    <col min="15" max="15" width="12.125" style="1" bestFit="1" customWidth="1"/>
    <col min="16" max="16" width="10.375" style="1" bestFit="1" customWidth="1"/>
    <col min="17" max="18" width="10" style="1" bestFit="1" customWidth="1"/>
    <col min="19" max="16384" width="11" style="1"/>
  </cols>
  <sheetData>
    <row r="1" spans="1:18" x14ac:dyDescent="0.25">
      <c r="A1" s="4" t="s">
        <v>152</v>
      </c>
      <c r="B1" s="4" t="s">
        <v>153</v>
      </c>
      <c r="C1" s="4" t="s">
        <v>154</v>
      </c>
      <c r="D1" s="4" t="s">
        <v>155</v>
      </c>
      <c r="E1" s="6" t="s">
        <v>214</v>
      </c>
      <c r="F1" s="6" t="s">
        <v>215</v>
      </c>
      <c r="G1" s="4" t="s">
        <v>156</v>
      </c>
      <c r="H1" s="4" t="s">
        <v>157</v>
      </c>
      <c r="I1" s="4" t="s">
        <v>158</v>
      </c>
      <c r="J1" s="4" t="s">
        <v>159</v>
      </c>
      <c r="K1" s="4" t="s">
        <v>160</v>
      </c>
      <c r="L1" s="4" t="s">
        <v>161</v>
      </c>
      <c r="M1" s="4" t="s">
        <v>162</v>
      </c>
      <c r="N1" s="4" t="s">
        <v>163</v>
      </c>
      <c r="O1" s="4" t="s">
        <v>164</v>
      </c>
      <c r="P1" s="4" t="s">
        <v>165</v>
      </c>
      <c r="Q1" s="4" t="s">
        <v>4</v>
      </c>
      <c r="R1" s="4" t="s">
        <v>166</v>
      </c>
    </row>
    <row r="2" spans="1:18" x14ac:dyDescent="0.25">
      <c r="A2" s="1">
        <v>45962</v>
      </c>
      <c r="B2" s="1">
        <v>1</v>
      </c>
      <c r="C2" s="5">
        <v>3</v>
      </c>
      <c r="D2" s="5">
        <v>109597</v>
      </c>
      <c r="E2" s="7" t="str">
        <f>TEXT(C2,"0000")&amp;TEXT(D2,"00000000")</f>
        <v>000300109597</v>
      </c>
      <c r="F2" s="7" t="str">
        <f>I2&amp;E2</f>
        <v>30708762373000300109597</v>
      </c>
      <c r="G2" s="5">
        <v>75443659659757</v>
      </c>
      <c r="H2" s="1">
        <v>80</v>
      </c>
      <c r="I2" s="5">
        <v>30708762373</v>
      </c>
      <c r="J2" s="1" t="s">
        <v>167</v>
      </c>
      <c r="K2" s="5">
        <v>1</v>
      </c>
      <c r="L2" s="1" t="s">
        <v>168</v>
      </c>
      <c r="M2" s="2">
        <v>27685.95</v>
      </c>
      <c r="N2" s="5">
        <v>0</v>
      </c>
      <c r="O2" s="5">
        <v>0</v>
      </c>
      <c r="P2" s="5">
        <v>0</v>
      </c>
      <c r="Q2" s="2">
        <v>5814.05</v>
      </c>
      <c r="R2" s="2">
        <v>33500</v>
      </c>
    </row>
    <row r="3" spans="1:18" x14ac:dyDescent="0.25">
      <c r="A3" s="1">
        <v>45962</v>
      </c>
      <c r="B3" s="1">
        <v>1</v>
      </c>
      <c r="C3" s="5">
        <v>3</v>
      </c>
      <c r="D3" s="5">
        <v>15537</v>
      </c>
      <c r="E3" s="7" t="str">
        <f t="shared" ref="E3:E66" si="0">TEXT(C3,"0000")&amp;TEXT(D3,"00000000")</f>
        <v>000300015537</v>
      </c>
      <c r="F3" s="7" t="str">
        <f t="shared" ref="F3:F66" si="1">I3&amp;E3</f>
        <v>30715919792000300015537</v>
      </c>
      <c r="G3" s="5">
        <v>75442086050641</v>
      </c>
      <c r="H3" s="1">
        <v>80</v>
      </c>
      <c r="I3" s="5">
        <v>30715919792</v>
      </c>
      <c r="J3" s="1" t="s">
        <v>258</v>
      </c>
      <c r="K3" s="5">
        <v>1</v>
      </c>
      <c r="L3" s="1" t="s">
        <v>168</v>
      </c>
      <c r="M3" s="2">
        <v>163509.54999999999</v>
      </c>
      <c r="N3" s="5">
        <v>0</v>
      </c>
      <c r="O3" s="5">
        <v>0</v>
      </c>
      <c r="P3" s="5">
        <v>0</v>
      </c>
      <c r="Q3" s="2">
        <v>34337.01</v>
      </c>
      <c r="R3" s="2">
        <v>197846.56</v>
      </c>
    </row>
    <row r="4" spans="1:18" x14ac:dyDescent="0.25">
      <c r="A4" s="1">
        <v>45962</v>
      </c>
      <c r="B4" s="1">
        <v>1</v>
      </c>
      <c r="C4" s="5">
        <v>24</v>
      </c>
      <c r="D4" s="5">
        <v>12051</v>
      </c>
      <c r="E4" s="7" t="str">
        <f t="shared" si="0"/>
        <v>002400012051</v>
      </c>
      <c r="F4" s="7" t="str">
        <f t="shared" si="1"/>
        <v>33681952239002400012051</v>
      </c>
      <c r="G4" s="5">
        <v>75449067401105</v>
      </c>
      <c r="H4" s="1">
        <v>80</v>
      </c>
      <c r="I4" s="5">
        <v>33681952239</v>
      </c>
      <c r="J4" s="1" t="s">
        <v>881</v>
      </c>
      <c r="K4" s="5">
        <v>1</v>
      </c>
      <c r="L4" s="1" t="s">
        <v>168</v>
      </c>
      <c r="M4" s="5">
        <v>14876.03</v>
      </c>
      <c r="N4" s="5">
        <v>0</v>
      </c>
      <c r="O4" s="5">
        <v>0</v>
      </c>
      <c r="P4" s="5">
        <v>0</v>
      </c>
      <c r="Q4" s="5">
        <v>3123.97</v>
      </c>
      <c r="R4" s="5">
        <v>18000</v>
      </c>
    </row>
    <row r="5" spans="1:18" x14ac:dyDescent="0.25">
      <c r="A5" s="1">
        <v>45962</v>
      </c>
      <c r="B5" s="1">
        <v>1</v>
      </c>
      <c r="C5" s="5">
        <v>2</v>
      </c>
      <c r="D5" s="5">
        <v>66062</v>
      </c>
      <c r="E5" s="7" t="str">
        <f t="shared" si="0"/>
        <v>000200066062</v>
      </c>
      <c r="F5" s="7" t="str">
        <f t="shared" si="1"/>
        <v>30708506237000200066062</v>
      </c>
      <c r="G5" s="5">
        <v>75447084285249</v>
      </c>
      <c r="H5" s="1">
        <v>80</v>
      </c>
      <c r="I5" s="5">
        <v>30708506237</v>
      </c>
      <c r="J5" s="1" t="s">
        <v>132</v>
      </c>
      <c r="K5" s="5">
        <v>1</v>
      </c>
      <c r="L5" s="1" t="s">
        <v>168</v>
      </c>
      <c r="M5" s="1">
        <v>130709.95</v>
      </c>
      <c r="N5" s="1">
        <v>0</v>
      </c>
      <c r="O5" s="1">
        <v>0</v>
      </c>
      <c r="P5" s="5">
        <v>0</v>
      </c>
      <c r="Q5" s="1">
        <v>27449.09</v>
      </c>
      <c r="R5" s="5">
        <v>158159.04000000001</v>
      </c>
    </row>
    <row r="6" spans="1:18" x14ac:dyDescent="0.25">
      <c r="A6" s="1">
        <v>45962</v>
      </c>
      <c r="B6" s="1">
        <v>1</v>
      </c>
      <c r="C6" s="5">
        <v>711</v>
      </c>
      <c r="D6" s="5">
        <v>7789834</v>
      </c>
      <c r="E6" s="7" t="str">
        <f t="shared" si="0"/>
        <v>071107789834</v>
      </c>
      <c r="F6" s="7" t="str">
        <f t="shared" si="1"/>
        <v>30677237119071107789834</v>
      </c>
      <c r="G6" s="5">
        <v>35439383462793</v>
      </c>
      <c r="H6" s="1">
        <v>80</v>
      </c>
      <c r="I6" s="5">
        <v>30677237119</v>
      </c>
      <c r="J6" s="1" t="s">
        <v>882</v>
      </c>
      <c r="K6" s="5">
        <v>1</v>
      </c>
      <c r="L6" s="1" t="s">
        <v>168</v>
      </c>
      <c r="M6" s="1">
        <v>2657.75</v>
      </c>
      <c r="N6" s="1">
        <v>0</v>
      </c>
      <c r="O6" s="1">
        <v>79.73</v>
      </c>
      <c r="P6" s="5">
        <v>159.47</v>
      </c>
      <c r="Q6" s="1">
        <v>558.13</v>
      </c>
      <c r="R6" s="5">
        <v>3455.08</v>
      </c>
    </row>
    <row r="7" spans="1:18" x14ac:dyDescent="0.25">
      <c r="A7" s="1">
        <v>45962</v>
      </c>
      <c r="B7" s="1">
        <v>1</v>
      </c>
      <c r="C7" s="5">
        <v>629</v>
      </c>
      <c r="D7" s="5">
        <v>6608454</v>
      </c>
      <c r="E7" s="7" t="str">
        <f t="shared" si="0"/>
        <v>062906608454</v>
      </c>
      <c r="F7" s="7" t="str">
        <f t="shared" si="1"/>
        <v>30663498513062906608454</v>
      </c>
      <c r="G7" s="5">
        <v>35433970133027</v>
      </c>
      <c r="H7" s="1">
        <v>80</v>
      </c>
      <c r="I7" s="5">
        <v>30663498513</v>
      </c>
      <c r="J7" s="1" t="s">
        <v>883</v>
      </c>
      <c r="K7" s="5">
        <v>1</v>
      </c>
      <c r="L7" s="1" t="s">
        <v>168</v>
      </c>
      <c r="M7" s="1">
        <v>3466.56</v>
      </c>
      <c r="N7" s="1">
        <v>0</v>
      </c>
      <c r="O7" s="1">
        <v>0</v>
      </c>
      <c r="P7" s="5">
        <v>207.99</v>
      </c>
      <c r="Q7" s="1">
        <v>727.98</v>
      </c>
      <c r="R7" s="5">
        <v>4402.53</v>
      </c>
    </row>
    <row r="8" spans="1:18" x14ac:dyDescent="0.25">
      <c r="A8" s="1">
        <v>45962</v>
      </c>
      <c r="B8" s="1">
        <v>1</v>
      </c>
      <c r="C8" s="5">
        <v>2</v>
      </c>
      <c r="D8" s="5">
        <v>10332</v>
      </c>
      <c r="E8" s="7" t="str">
        <f t="shared" si="0"/>
        <v>000200010332</v>
      </c>
      <c r="F8" s="7" t="str">
        <f t="shared" si="1"/>
        <v>30709715395000200010332</v>
      </c>
      <c r="G8" s="5">
        <v>75455673770393</v>
      </c>
      <c r="H8" s="1">
        <v>80</v>
      </c>
      <c r="I8" s="5">
        <v>30709715395</v>
      </c>
      <c r="J8" s="1" t="s">
        <v>172</v>
      </c>
      <c r="K8" s="5">
        <v>1</v>
      </c>
      <c r="L8" s="1" t="s">
        <v>168</v>
      </c>
      <c r="M8" s="2">
        <v>1752300</v>
      </c>
      <c r="N8" s="5">
        <v>0</v>
      </c>
      <c r="O8" s="5">
        <v>0</v>
      </c>
      <c r="P8" s="5">
        <v>0</v>
      </c>
      <c r="Q8" s="2">
        <v>367983</v>
      </c>
      <c r="R8" s="1">
        <v>2120283</v>
      </c>
    </row>
    <row r="9" spans="1:18" x14ac:dyDescent="0.25">
      <c r="A9" s="1">
        <v>45962</v>
      </c>
      <c r="B9" s="1">
        <v>1</v>
      </c>
      <c r="C9" s="5">
        <v>2</v>
      </c>
      <c r="D9" s="5">
        <v>10333</v>
      </c>
      <c r="E9" s="7" t="str">
        <f t="shared" si="0"/>
        <v>000200010333</v>
      </c>
      <c r="F9" s="7" t="str">
        <f t="shared" si="1"/>
        <v>30709715395000200010333</v>
      </c>
      <c r="G9" s="5">
        <v>75455673877711</v>
      </c>
      <c r="H9" s="1">
        <v>80</v>
      </c>
      <c r="I9" s="5">
        <v>30709715395</v>
      </c>
      <c r="J9" s="1" t="s">
        <v>172</v>
      </c>
      <c r="K9" s="5">
        <v>1</v>
      </c>
      <c r="L9" s="1" t="s">
        <v>168</v>
      </c>
      <c r="M9" s="2">
        <v>2570040</v>
      </c>
      <c r="N9" s="5">
        <v>0</v>
      </c>
      <c r="O9" s="5">
        <v>0</v>
      </c>
      <c r="P9" s="2">
        <v>0</v>
      </c>
      <c r="Q9" s="2">
        <v>539708.4</v>
      </c>
      <c r="R9" s="2">
        <v>3109748.4</v>
      </c>
    </row>
    <row r="10" spans="1:18" x14ac:dyDescent="0.25">
      <c r="A10" s="1">
        <v>45962</v>
      </c>
      <c r="B10" s="1">
        <v>1</v>
      </c>
      <c r="C10" s="5">
        <v>2</v>
      </c>
      <c r="D10" s="5">
        <v>10267</v>
      </c>
      <c r="E10" s="7" t="str">
        <f t="shared" si="0"/>
        <v>000200010267</v>
      </c>
      <c r="F10" s="7" t="str">
        <f t="shared" si="1"/>
        <v>30709715395000200010267</v>
      </c>
      <c r="G10" s="5">
        <v>75455672570597</v>
      </c>
      <c r="H10" s="1">
        <v>80</v>
      </c>
      <c r="I10" s="5">
        <v>30709715395</v>
      </c>
      <c r="J10" s="1" t="s">
        <v>172</v>
      </c>
      <c r="K10" s="5">
        <v>1</v>
      </c>
      <c r="L10" s="1" t="s">
        <v>168</v>
      </c>
      <c r="M10" s="5">
        <v>1351100</v>
      </c>
      <c r="N10" s="5">
        <v>0</v>
      </c>
      <c r="O10" s="5">
        <v>0</v>
      </c>
      <c r="P10" s="5">
        <v>0</v>
      </c>
      <c r="Q10" s="5">
        <v>283731</v>
      </c>
      <c r="R10" s="5">
        <v>1634831</v>
      </c>
    </row>
    <row r="11" spans="1:18" x14ac:dyDescent="0.25">
      <c r="A11" s="1">
        <v>45962</v>
      </c>
      <c r="B11" s="1">
        <v>1</v>
      </c>
      <c r="C11" s="5">
        <v>9</v>
      </c>
      <c r="D11" s="5">
        <v>32</v>
      </c>
      <c r="E11" s="7" t="str">
        <f t="shared" si="0"/>
        <v>000900000032</v>
      </c>
      <c r="F11" s="7" t="str">
        <f t="shared" si="1"/>
        <v>27144014656000900000032</v>
      </c>
      <c r="G11" s="5">
        <v>75446090184621</v>
      </c>
      <c r="H11" s="1">
        <v>80</v>
      </c>
      <c r="I11" s="5">
        <v>27144014656</v>
      </c>
      <c r="J11" s="1" t="s">
        <v>79</v>
      </c>
      <c r="K11" s="5">
        <v>1</v>
      </c>
      <c r="L11" s="1" t="s">
        <v>168</v>
      </c>
      <c r="M11" s="2">
        <v>1150000</v>
      </c>
      <c r="N11" s="5">
        <v>0</v>
      </c>
      <c r="O11" s="5">
        <v>0</v>
      </c>
      <c r="P11" s="5">
        <v>0</v>
      </c>
      <c r="Q11" s="2">
        <v>241500</v>
      </c>
      <c r="R11" s="2">
        <v>1391500</v>
      </c>
    </row>
    <row r="12" spans="1:18" x14ac:dyDescent="0.25">
      <c r="A12" s="1">
        <v>45962</v>
      </c>
      <c r="B12" s="1">
        <v>6</v>
      </c>
      <c r="C12" s="5">
        <v>5</v>
      </c>
      <c r="D12" s="5">
        <v>10700</v>
      </c>
      <c r="E12" s="7" t="str">
        <f t="shared" si="0"/>
        <v>000500010700</v>
      </c>
      <c r="F12" s="7" t="str">
        <f t="shared" si="1"/>
        <v>20253290960000500010700</v>
      </c>
      <c r="G12" s="5">
        <v>75450444440972</v>
      </c>
      <c r="H12" s="1">
        <v>80</v>
      </c>
      <c r="I12" s="5">
        <v>20253290960</v>
      </c>
      <c r="J12" s="1" t="s">
        <v>194</v>
      </c>
      <c r="K12" s="5">
        <v>1</v>
      </c>
      <c r="L12" s="1" t="s">
        <v>168</v>
      </c>
      <c r="M12" s="2">
        <v>0</v>
      </c>
      <c r="N12" s="5">
        <v>0</v>
      </c>
      <c r="O12" s="5">
        <v>0</v>
      </c>
      <c r="P12" s="2">
        <v>0</v>
      </c>
      <c r="Q12" s="2">
        <v>0</v>
      </c>
      <c r="R12" s="2">
        <v>120000</v>
      </c>
    </row>
    <row r="13" spans="1:18" x14ac:dyDescent="0.25">
      <c r="A13" s="1">
        <v>45962</v>
      </c>
      <c r="B13" s="1">
        <v>11</v>
      </c>
      <c r="C13" s="5">
        <v>3</v>
      </c>
      <c r="D13" s="5">
        <v>13</v>
      </c>
      <c r="E13" s="7" t="str">
        <f t="shared" si="0"/>
        <v>000300000013</v>
      </c>
      <c r="F13" s="7" t="str">
        <f t="shared" si="1"/>
        <v>27286259508000300000013</v>
      </c>
      <c r="G13" s="5">
        <v>75448989406969</v>
      </c>
      <c r="H13" s="1">
        <v>80</v>
      </c>
      <c r="I13" s="5">
        <v>27286259508</v>
      </c>
      <c r="J13" s="1" t="s">
        <v>108</v>
      </c>
      <c r="K13" s="5">
        <v>1</v>
      </c>
      <c r="L13" s="1" t="s">
        <v>168</v>
      </c>
      <c r="M13" s="2">
        <v>0</v>
      </c>
      <c r="N13" s="5">
        <v>0</v>
      </c>
      <c r="O13" s="5">
        <v>0</v>
      </c>
      <c r="P13" s="5">
        <v>0</v>
      </c>
      <c r="Q13" s="1">
        <v>0</v>
      </c>
      <c r="R13" s="2">
        <v>1590000</v>
      </c>
    </row>
    <row r="14" spans="1:18" x14ac:dyDescent="0.25">
      <c r="A14" s="1">
        <v>45962</v>
      </c>
      <c r="B14" s="1">
        <v>11</v>
      </c>
      <c r="C14" s="5">
        <v>2</v>
      </c>
      <c r="D14" s="5">
        <v>591</v>
      </c>
      <c r="E14" s="7" t="str">
        <f t="shared" si="0"/>
        <v>000200000591</v>
      </c>
      <c r="F14" s="7" t="str">
        <f t="shared" si="1"/>
        <v>20327963415000200000591</v>
      </c>
      <c r="G14" s="5">
        <v>75445116343705</v>
      </c>
      <c r="H14" s="1">
        <v>80</v>
      </c>
      <c r="I14" s="5">
        <v>20327963415</v>
      </c>
      <c r="J14" s="1" t="s">
        <v>433</v>
      </c>
      <c r="K14" s="5">
        <v>1</v>
      </c>
      <c r="L14" s="1" t="s">
        <v>168</v>
      </c>
      <c r="M14" s="2">
        <v>0</v>
      </c>
      <c r="N14" s="5">
        <v>0</v>
      </c>
      <c r="O14" s="5">
        <v>0</v>
      </c>
      <c r="P14" s="2">
        <v>0</v>
      </c>
      <c r="Q14" s="2">
        <v>0</v>
      </c>
      <c r="R14" s="2">
        <v>137000</v>
      </c>
    </row>
    <row r="15" spans="1:18" x14ac:dyDescent="0.25">
      <c r="A15" s="1">
        <v>45963</v>
      </c>
      <c r="B15" s="1">
        <v>1</v>
      </c>
      <c r="C15" s="5">
        <v>2</v>
      </c>
      <c r="D15" s="5">
        <v>6014</v>
      </c>
      <c r="E15" s="7" t="str">
        <f t="shared" si="0"/>
        <v>000200006014</v>
      </c>
      <c r="F15" s="7" t="str">
        <f t="shared" si="1"/>
        <v>30684717940000200006014</v>
      </c>
      <c r="G15" s="5">
        <v>75440265356631</v>
      </c>
      <c r="H15" s="1">
        <v>80</v>
      </c>
      <c r="I15" s="5">
        <v>30684717940</v>
      </c>
      <c r="J15" s="1" t="s">
        <v>884</v>
      </c>
      <c r="K15" s="5">
        <v>1</v>
      </c>
      <c r="L15" s="1" t="s">
        <v>168</v>
      </c>
      <c r="M15" s="2">
        <v>1329459.58</v>
      </c>
      <c r="N15" s="5">
        <v>0</v>
      </c>
      <c r="O15" s="5">
        <v>0</v>
      </c>
      <c r="P15" s="5">
        <v>0</v>
      </c>
      <c r="Q15" s="2">
        <v>279186.51</v>
      </c>
      <c r="R15" s="2">
        <v>1608646.09</v>
      </c>
    </row>
    <row r="16" spans="1:18" x14ac:dyDescent="0.25">
      <c r="A16" s="1">
        <v>45963</v>
      </c>
      <c r="B16" s="1">
        <v>1</v>
      </c>
      <c r="C16" s="5">
        <v>13</v>
      </c>
      <c r="D16" s="5">
        <v>254957</v>
      </c>
      <c r="E16" s="7" t="str">
        <f t="shared" si="0"/>
        <v>001300254957</v>
      </c>
      <c r="F16" s="7" t="str">
        <f t="shared" si="1"/>
        <v>30701958353001300254957</v>
      </c>
      <c r="G16" s="5">
        <v>75443197429346</v>
      </c>
      <c r="H16" s="1">
        <v>80</v>
      </c>
      <c r="I16" s="5">
        <v>30701958353</v>
      </c>
      <c r="J16" s="1" t="s">
        <v>259</v>
      </c>
      <c r="K16" s="5">
        <v>1</v>
      </c>
      <c r="L16" s="1" t="s">
        <v>168</v>
      </c>
      <c r="M16" s="5">
        <v>226022.62</v>
      </c>
      <c r="N16" s="5">
        <v>0</v>
      </c>
      <c r="O16" s="5">
        <v>0</v>
      </c>
      <c r="P16" s="5">
        <v>0</v>
      </c>
      <c r="Q16" s="2">
        <v>47464.75</v>
      </c>
      <c r="R16" s="2">
        <v>273487.37</v>
      </c>
    </row>
    <row r="17" spans="1:18" x14ac:dyDescent="0.25">
      <c r="A17" s="1">
        <v>45963</v>
      </c>
      <c r="B17" s="1">
        <v>11</v>
      </c>
      <c r="C17" s="5">
        <v>3</v>
      </c>
      <c r="D17" s="5">
        <v>2377</v>
      </c>
      <c r="E17" s="7" t="str">
        <f t="shared" si="0"/>
        <v>000300002377</v>
      </c>
      <c r="F17" s="7" t="str">
        <f t="shared" si="1"/>
        <v>30678357150000300002377</v>
      </c>
      <c r="G17" s="5">
        <v>75450280438145</v>
      </c>
      <c r="H17" s="1">
        <v>80</v>
      </c>
      <c r="I17" s="5">
        <v>30678357150</v>
      </c>
      <c r="J17" s="1" t="s">
        <v>269</v>
      </c>
      <c r="K17" s="5">
        <v>1</v>
      </c>
      <c r="L17" s="1" t="s">
        <v>168</v>
      </c>
      <c r="M17" s="5">
        <v>0</v>
      </c>
      <c r="N17" s="5">
        <v>0</v>
      </c>
      <c r="O17" s="5">
        <v>0</v>
      </c>
      <c r="P17" s="5">
        <v>0</v>
      </c>
      <c r="Q17" s="2">
        <v>0</v>
      </c>
      <c r="R17" s="2">
        <v>500000</v>
      </c>
    </row>
    <row r="18" spans="1:18" x14ac:dyDescent="0.25">
      <c r="A18" s="1">
        <v>45964</v>
      </c>
      <c r="B18" s="1">
        <v>1</v>
      </c>
      <c r="C18" s="5">
        <v>1203</v>
      </c>
      <c r="D18" s="5">
        <v>563</v>
      </c>
      <c r="E18" s="7" t="str">
        <f t="shared" si="0"/>
        <v>120300000563</v>
      </c>
      <c r="F18" s="7" t="str">
        <f t="shared" si="1"/>
        <v>30708492945120300000563</v>
      </c>
      <c r="G18" s="5">
        <v>75445378144977</v>
      </c>
      <c r="H18" s="1">
        <v>80</v>
      </c>
      <c r="I18" s="5">
        <v>30708492945</v>
      </c>
      <c r="J18" s="1" t="s">
        <v>312</v>
      </c>
      <c r="K18" s="5">
        <v>1475.0060000000001</v>
      </c>
      <c r="L18" s="1" t="s">
        <v>206</v>
      </c>
      <c r="M18" s="5">
        <v>530.05999999999995</v>
      </c>
      <c r="N18" s="5">
        <v>0</v>
      </c>
      <c r="O18" s="5">
        <v>0</v>
      </c>
      <c r="P18" s="5">
        <v>0</v>
      </c>
      <c r="Q18" s="5">
        <v>111.31</v>
      </c>
      <c r="R18" s="5">
        <v>641.37</v>
      </c>
    </row>
    <row r="19" spans="1:18" x14ac:dyDescent="0.25">
      <c r="A19" s="1">
        <v>45964</v>
      </c>
      <c r="B19" s="1">
        <v>1</v>
      </c>
      <c r="C19" s="5">
        <v>43</v>
      </c>
      <c r="D19" s="5">
        <v>11134</v>
      </c>
      <c r="E19" s="7" t="str">
        <f t="shared" si="0"/>
        <v>004300011134</v>
      </c>
      <c r="F19" s="7" t="str">
        <f t="shared" si="1"/>
        <v>30692402363004300011134</v>
      </c>
      <c r="G19" s="5">
        <v>75443309847356</v>
      </c>
      <c r="H19" s="1">
        <v>80</v>
      </c>
      <c r="I19" s="5">
        <v>30692402363</v>
      </c>
      <c r="J19" s="1" t="s">
        <v>210</v>
      </c>
      <c r="K19" s="5">
        <v>1</v>
      </c>
      <c r="L19" s="1" t="s">
        <v>168</v>
      </c>
      <c r="M19" s="2">
        <v>68884.3</v>
      </c>
      <c r="N19" s="5">
        <v>0</v>
      </c>
      <c r="O19" s="5">
        <v>0</v>
      </c>
      <c r="P19" s="5">
        <v>0</v>
      </c>
      <c r="Q19" s="2">
        <v>14465.7</v>
      </c>
      <c r="R19" s="2">
        <v>83350</v>
      </c>
    </row>
    <row r="20" spans="1:18" x14ac:dyDescent="0.25">
      <c r="A20" s="1">
        <v>45964</v>
      </c>
      <c r="B20" s="1">
        <v>1</v>
      </c>
      <c r="C20" s="5">
        <v>3</v>
      </c>
      <c r="D20" s="5">
        <v>15034</v>
      </c>
      <c r="E20" s="7" t="str">
        <f t="shared" si="0"/>
        <v>000300015034</v>
      </c>
      <c r="F20" s="7" t="str">
        <f t="shared" si="1"/>
        <v>30560464149000300015034</v>
      </c>
      <c r="G20" s="5">
        <v>75449300237436</v>
      </c>
      <c r="H20" s="1">
        <v>80</v>
      </c>
      <c r="I20" s="5">
        <v>30560464149</v>
      </c>
      <c r="J20" s="1" t="s">
        <v>453</v>
      </c>
      <c r="K20" s="5">
        <v>1</v>
      </c>
      <c r="L20" s="1" t="s">
        <v>168</v>
      </c>
      <c r="M20" s="1">
        <v>681216.24</v>
      </c>
      <c r="N20" s="1">
        <v>0</v>
      </c>
      <c r="O20" s="1">
        <v>0</v>
      </c>
      <c r="P20" s="5">
        <v>0</v>
      </c>
      <c r="Q20" s="1">
        <v>143055.41</v>
      </c>
      <c r="R20" s="5">
        <v>824271.65</v>
      </c>
    </row>
    <row r="21" spans="1:18" x14ac:dyDescent="0.25">
      <c r="A21" s="1">
        <v>45964</v>
      </c>
      <c r="B21" s="1">
        <v>1</v>
      </c>
      <c r="C21" s="5">
        <v>6</v>
      </c>
      <c r="D21" s="5">
        <v>158</v>
      </c>
      <c r="E21" s="7" t="str">
        <f t="shared" si="0"/>
        <v>000600000158</v>
      </c>
      <c r="F21" s="7" t="str">
        <f t="shared" si="1"/>
        <v>20236223052000600000158</v>
      </c>
      <c r="G21" s="5">
        <v>75442345833535</v>
      </c>
      <c r="H21" s="1">
        <v>80</v>
      </c>
      <c r="I21" s="5">
        <v>20236223052</v>
      </c>
      <c r="J21" s="1" t="s">
        <v>459</v>
      </c>
      <c r="K21" s="5">
        <v>1</v>
      </c>
      <c r="L21" s="1" t="s">
        <v>168</v>
      </c>
      <c r="M21" s="1">
        <v>21487.599999999999</v>
      </c>
      <c r="N21" s="1">
        <v>0</v>
      </c>
      <c r="O21" s="1">
        <v>0</v>
      </c>
      <c r="P21" s="5">
        <v>0</v>
      </c>
      <c r="Q21" s="1">
        <v>4512.3999999999996</v>
      </c>
      <c r="R21" s="5">
        <v>26000</v>
      </c>
    </row>
    <row r="22" spans="1:18" x14ac:dyDescent="0.25">
      <c r="A22" s="1">
        <v>45964</v>
      </c>
      <c r="B22" s="1">
        <v>1</v>
      </c>
      <c r="C22" s="5">
        <v>9</v>
      </c>
      <c r="D22" s="5">
        <v>997</v>
      </c>
      <c r="E22" s="7" t="str">
        <f t="shared" si="0"/>
        <v>000900000997</v>
      </c>
      <c r="F22" s="7" t="str">
        <f t="shared" si="1"/>
        <v>20335001932000900000997</v>
      </c>
      <c r="G22" s="5">
        <v>75442323239524</v>
      </c>
      <c r="H22" s="1">
        <v>80</v>
      </c>
      <c r="I22" s="5">
        <v>20335001932</v>
      </c>
      <c r="J22" s="1" t="s">
        <v>196</v>
      </c>
      <c r="K22" s="5">
        <v>1</v>
      </c>
      <c r="L22" s="1" t="s">
        <v>168</v>
      </c>
      <c r="M22" s="1">
        <v>33553.72</v>
      </c>
      <c r="N22" s="1">
        <v>0</v>
      </c>
      <c r="O22" s="1">
        <v>0</v>
      </c>
      <c r="P22" s="5">
        <v>0</v>
      </c>
      <c r="Q22" s="1">
        <v>7046.28</v>
      </c>
      <c r="R22" s="5">
        <v>40600</v>
      </c>
    </row>
    <row r="23" spans="1:18" x14ac:dyDescent="0.25">
      <c r="A23" s="1">
        <v>45964</v>
      </c>
      <c r="B23" s="1">
        <v>1</v>
      </c>
      <c r="C23" s="5">
        <v>5</v>
      </c>
      <c r="D23" s="5">
        <v>13081</v>
      </c>
      <c r="E23" s="7" t="str">
        <f t="shared" si="0"/>
        <v>000500013081</v>
      </c>
      <c r="F23" s="7" t="str">
        <f t="shared" si="1"/>
        <v>30707509976000500013081</v>
      </c>
      <c r="G23" s="5">
        <v>75446320729790</v>
      </c>
      <c r="H23" s="1">
        <v>80</v>
      </c>
      <c r="I23" s="5">
        <v>30707509976</v>
      </c>
      <c r="J23" s="1" t="s">
        <v>171</v>
      </c>
      <c r="K23" s="5">
        <v>1</v>
      </c>
      <c r="L23" s="1" t="s">
        <v>168</v>
      </c>
      <c r="M23" s="5">
        <v>4118797.65</v>
      </c>
      <c r="N23" s="5">
        <v>0</v>
      </c>
      <c r="O23" s="5">
        <v>0</v>
      </c>
      <c r="P23" s="5">
        <v>0</v>
      </c>
      <c r="Q23" s="1">
        <v>864947.51</v>
      </c>
      <c r="R23" s="1">
        <v>4983745.16</v>
      </c>
    </row>
    <row r="24" spans="1:18" x14ac:dyDescent="0.25">
      <c r="A24" s="1">
        <v>45964</v>
      </c>
      <c r="B24" s="1">
        <v>1</v>
      </c>
      <c r="C24" s="5">
        <v>5</v>
      </c>
      <c r="D24" s="5">
        <v>13082</v>
      </c>
      <c r="E24" s="7" t="str">
        <f t="shared" si="0"/>
        <v>000500013082</v>
      </c>
      <c r="F24" s="7" t="str">
        <f t="shared" si="1"/>
        <v>30707509976000500013082</v>
      </c>
      <c r="G24" s="5">
        <v>75446321122624</v>
      </c>
      <c r="H24" s="1">
        <v>80</v>
      </c>
      <c r="I24" s="5">
        <v>30707509976</v>
      </c>
      <c r="J24" s="1" t="s">
        <v>171</v>
      </c>
      <c r="K24" s="5">
        <v>1</v>
      </c>
      <c r="L24" s="1" t="s">
        <v>168</v>
      </c>
      <c r="M24" s="2">
        <v>1747087.56</v>
      </c>
      <c r="N24" s="5">
        <v>0</v>
      </c>
      <c r="O24" s="5">
        <v>0</v>
      </c>
      <c r="P24" s="5">
        <v>0</v>
      </c>
      <c r="Q24" s="2">
        <v>366888.39</v>
      </c>
      <c r="R24" s="2">
        <v>2113975.9500000002</v>
      </c>
    </row>
    <row r="25" spans="1:18" x14ac:dyDescent="0.25">
      <c r="A25" s="1">
        <v>45964</v>
      </c>
      <c r="B25" s="1">
        <v>1</v>
      </c>
      <c r="C25" s="5">
        <v>3</v>
      </c>
      <c r="D25" s="5">
        <v>10047</v>
      </c>
      <c r="E25" s="7" t="str">
        <f t="shared" si="0"/>
        <v>000300010047</v>
      </c>
      <c r="F25" s="7" t="str">
        <f t="shared" si="1"/>
        <v>23174473919000300010047</v>
      </c>
      <c r="G25" s="5">
        <v>75449283010179</v>
      </c>
      <c r="H25" s="1">
        <v>80</v>
      </c>
      <c r="I25" s="5">
        <v>23174473919</v>
      </c>
      <c r="J25" s="1" t="s">
        <v>217</v>
      </c>
      <c r="K25" s="5">
        <v>1</v>
      </c>
      <c r="L25" s="1" t="s">
        <v>168</v>
      </c>
      <c r="M25" s="2">
        <v>64740.06</v>
      </c>
      <c r="N25" s="5">
        <v>0</v>
      </c>
      <c r="O25" s="5">
        <v>0</v>
      </c>
      <c r="P25" s="5">
        <v>0</v>
      </c>
      <c r="Q25" s="2">
        <v>13595.41</v>
      </c>
      <c r="R25" s="1">
        <v>78335.47</v>
      </c>
    </row>
    <row r="26" spans="1:18" x14ac:dyDescent="0.25">
      <c r="A26" s="1">
        <v>45964</v>
      </c>
      <c r="B26" s="1">
        <v>1</v>
      </c>
      <c r="C26" s="5">
        <v>3</v>
      </c>
      <c r="D26" s="5">
        <v>15033</v>
      </c>
      <c r="E26" s="7" t="str">
        <f t="shared" si="0"/>
        <v>000300015033</v>
      </c>
      <c r="F26" s="7" t="str">
        <f t="shared" si="1"/>
        <v>30560464149000300015033</v>
      </c>
      <c r="G26" s="5">
        <v>75449299106659</v>
      </c>
      <c r="H26" s="1">
        <v>80</v>
      </c>
      <c r="I26" s="5">
        <v>30560464149</v>
      </c>
      <c r="J26" s="1" t="s">
        <v>453</v>
      </c>
      <c r="K26" s="5">
        <v>1</v>
      </c>
      <c r="L26" s="1" t="s">
        <v>168</v>
      </c>
      <c r="M26" s="2">
        <v>2283487.96</v>
      </c>
      <c r="N26" s="5">
        <v>0</v>
      </c>
      <c r="O26" s="5">
        <v>0</v>
      </c>
      <c r="P26" s="5">
        <v>0</v>
      </c>
      <c r="Q26" s="2">
        <v>479532.47</v>
      </c>
      <c r="R26" s="5">
        <v>2763020.43</v>
      </c>
    </row>
    <row r="27" spans="1:18" x14ac:dyDescent="0.25">
      <c r="A27" s="1">
        <v>45964</v>
      </c>
      <c r="B27" s="1">
        <v>1</v>
      </c>
      <c r="C27" s="5">
        <v>333</v>
      </c>
      <c r="D27" s="5">
        <v>124609</v>
      </c>
      <c r="E27" s="7" t="str">
        <f t="shared" si="0"/>
        <v>033300124609</v>
      </c>
      <c r="F27" s="7" t="str">
        <f t="shared" si="1"/>
        <v>30646512952033300124609</v>
      </c>
      <c r="G27" s="5">
        <v>35432150758787</v>
      </c>
      <c r="H27" s="1">
        <v>80</v>
      </c>
      <c r="I27" s="5">
        <v>30646512952</v>
      </c>
      <c r="J27" s="1" t="s">
        <v>320</v>
      </c>
      <c r="K27" s="5">
        <v>1</v>
      </c>
      <c r="L27" s="1" t="s">
        <v>168</v>
      </c>
      <c r="M27" s="2">
        <v>8790518.8900000006</v>
      </c>
      <c r="N27" s="5">
        <v>0</v>
      </c>
      <c r="O27" s="5">
        <v>0</v>
      </c>
      <c r="P27" s="5">
        <v>0</v>
      </c>
      <c r="Q27" s="1">
        <v>1846008.97</v>
      </c>
      <c r="R27" s="2">
        <v>10636527.859999999</v>
      </c>
    </row>
    <row r="28" spans="1:18" x14ac:dyDescent="0.25">
      <c r="A28" s="1">
        <v>45964</v>
      </c>
      <c r="B28" s="1">
        <v>1</v>
      </c>
      <c r="C28" s="5">
        <v>1</v>
      </c>
      <c r="D28" s="5">
        <v>4340</v>
      </c>
      <c r="E28" s="7" t="str">
        <f t="shared" si="0"/>
        <v>000100004340</v>
      </c>
      <c r="F28" s="7" t="str">
        <f t="shared" si="1"/>
        <v>30715482548000100004340</v>
      </c>
      <c r="G28" s="5">
        <v>75448358396176</v>
      </c>
      <c r="H28" s="1">
        <v>80</v>
      </c>
      <c r="I28" s="5">
        <v>30715482548</v>
      </c>
      <c r="J28" s="1" t="s">
        <v>189</v>
      </c>
      <c r="K28" s="5">
        <v>1</v>
      </c>
      <c r="L28" s="1" t="s">
        <v>168</v>
      </c>
      <c r="M28" s="2">
        <v>450000</v>
      </c>
      <c r="N28" s="5">
        <v>0</v>
      </c>
      <c r="O28" s="5">
        <v>0</v>
      </c>
      <c r="P28" s="5">
        <v>0</v>
      </c>
      <c r="Q28" s="2">
        <v>22500</v>
      </c>
      <c r="R28" s="2">
        <v>472500</v>
      </c>
    </row>
    <row r="29" spans="1:18" x14ac:dyDescent="0.25">
      <c r="A29" s="1">
        <v>45964</v>
      </c>
      <c r="B29" s="1">
        <v>1</v>
      </c>
      <c r="C29" s="5">
        <v>1</v>
      </c>
      <c r="D29" s="5">
        <v>866</v>
      </c>
      <c r="E29" s="7" t="str">
        <f t="shared" si="0"/>
        <v>000100000866</v>
      </c>
      <c r="F29" s="7" t="str">
        <f t="shared" si="1"/>
        <v>30716314320000100000866</v>
      </c>
      <c r="G29" s="5">
        <v>75440294376563</v>
      </c>
      <c r="H29" s="1">
        <v>80</v>
      </c>
      <c r="I29" s="5">
        <v>30716314320</v>
      </c>
      <c r="J29" s="1" t="s">
        <v>83</v>
      </c>
      <c r="K29" s="5">
        <v>1</v>
      </c>
      <c r="L29" s="1" t="s">
        <v>168</v>
      </c>
      <c r="M29" s="2">
        <v>1035000</v>
      </c>
      <c r="N29" s="5">
        <v>0</v>
      </c>
      <c r="O29" s="5">
        <v>0</v>
      </c>
      <c r="P29" s="5">
        <v>0</v>
      </c>
      <c r="Q29" s="2">
        <v>217350</v>
      </c>
      <c r="R29" s="5">
        <v>1252350</v>
      </c>
    </row>
    <row r="30" spans="1:18" x14ac:dyDescent="0.25">
      <c r="A30" s="1">
        <v>45964</v>
      </c>
      <c r="B30" s="1">
        <v>1</v>
      </c>
      <c r="C30" s="5">
        <v>215</v>
      </c>
      <c r="D30" s="5">
        <v>100298</v>
      </c>
      <c r="E30" s="7" t="str">
        <f t="shared" si="0"/>
        <v>021500100298</v>
      </c>
      <c r="F30" s="7" t="str">
        <f t="shared" si="1"/>
        <v>30500529071021500100298</v>
      </c>
      <c r="G30" s="5">
        <v>35431670074949</v>
      </c>
      <c r="H30" s="1">
        <v>80</v>
      </c>
      <c r="I30" s="5">
        <v>30500529071</v>
      </c>
      <c r="J30" s="1" t="s">
        <v>179</v>
      </c>
      <c r="K30" s="5">
        <v>1</v>
      </c>
      <c r="L30" s="1" t="s">
        <v>168</v>
      </c>
      <c r="M30" s="2">
        <v>10778729.050000001</v>
      </c>
      <c r="N30" s="5"/>
      <c r="O30" s="5"/>
      <c r="P30" s="2">
        <v>592830.09</v>
      </c>
      <c r="Q30" s="2">
        <v>2263533.1</v>
      </c>
      <c r="R30" s="2">
        <v>13635092.189999999</v>
      </c>
    </row>
    <row r="31" spans="1:18" x14ac:dyDescent="0.25">
      <c r="A31" s="1">
        <v>45964</v>
      </c>
      <c r="B31" s="1">
        <v>3</v>
      </c>
      <c r="C31" s="5">
        <v>9</v>
      </c>
      <c r="D31" s="5">
        <v>27</v>
      </c>
      <c r="E31" s="7" t="str">
        <f t="shared" si="0"/>
        <v>000900000027</v>
      </c>
      <c r="F31" s="7" t="str">
        <f t="shared" si="1"/>
        <v>20335001932000900000027</v>
      </c>
      <c r="G31" s="5">
        <v>75442322873115</v>
      </c>
      <c r="H31" s="1">
        <v>80</v>
      </c>
      <c r="I31" s="5">
        <v>20335001932</v>
      </c>
      <c r="J31" s="1" t="s">
        <v>196</v>
      </c>
      <c r="K31" s="5">
        <v>1</v>
      </c>
      <c r="L31" s="1" t="s">
        <v>168</v>
      </c>
      <c r="M31" s="2">
        <v>12727.27</v>
      </c>
      <c r="N31" s="5">
        <v>0</v>
      </c>
      <c r="O31" s="5">
        <v>0</v>
      </c>
      <c r="P31" s="5">
        <v>0</v>
      </c>
      <c r="Q31" s="2">
        <v>2672.73</v>
      </c>
      <c r="R31" s="5">
        <v>15400</v>
      </c>
    </row>
    <row r="32" spans="1:18" x14ac:dyDescent="0.25">
      <c r="A32" s="1">
        <v>45964</v>
      </c>
      <c r="B32" s="1">
        <v>3</v>
      </c>
      <c r="C32" s="5">
        <v>2</v>
      </c>
      <c r="D32" s="5">
        <v>1444</v>
      </c>
      <c r="E32" s="7" t="str">
        <f t="shared" si="0"/>
        <v>000200001444</v>
      </c>
      <c r="F32" s="7" t="str">
        <f t="shared" si="1"/>
        <v>30714379468000200001444</v>
      </c>
      <c r="G32" s="5">
        <v>75448370338614</v>
      </c>
      <c r="H32" s="1">
        <v>80</v>
      </c>
      <c r="I32" s="5">
        <v>30714379468</v>
      </c>
      <c r="J32" s="1" t="s">
        <v>220</v>
      </c>
      <c r="K32" s="5">
        <v>1</v>
      </c>
      <c r="L32" s="1" t="s">
        <v>168</v>
      </c>
      <c r="M32" s="5">
        <v>3819</v>
      </c>
      <c r="N32" s="5">
        <v>0</v>
      </c>
      <c r="O32" s="5">
        <v>0</v>
      </c>
      <c r="P32" s="5">
        <v>0</v>
      </c>
      <c r="Q32" s="1">
        <v>801.99</v>
      </c>
      <c r="R32" s="1">
        <v>4620.99</v>
      </c>
    </row>
    <row r="33" spans="1:18" x14ac:dyDescent="0.25">
      <c r="A33" s="1">
        <v>45964</v>
      </c>
      <c r="B33" s="1">
        <v>3</v>
      </c>
      <c r="C33" s="5">
        <v>3</v>
      </c>
      <c r="D33" s="5">
        <v>847</v>
      </c>
      <c r="E33" s="7" t="str">
        <f t="shared" si="0"/>
        <v>000300000847</v>
      </c>
      <c r="F33" s="7" t="str">
        <f t="shared" si="1"/>
        <v>23174473919000300000847</v>
      </c>
      <c r="G33" s="5">
        <v>75449282856431</v>
      </c>
      <c r="H33" s="1">
        <v>80</v>
      </c>
      <c r="I33" s="5">
        <v>23174473919</v>
      </c>
      <c r="J33" s="1" t="s">
        <v>217</v>
      </c>
      <c r="K33" s="5">
        <v>1</v>
      </c>
      <c r="L33" s="1" t="s">
        <v>168</v>
      </c>
      <c r="M33" s="5">
        <v>46910.61</v>
      </c>
      <c r="N33" s="5">
        <v>0</v>
      </c>
      <c r="O33" s="5">
        <v>0</v>
      </c>
      <c r="P33" s="5">
        <v>0</v>
      </c>
      <c r="Q33" s="2">
        <v>9851.23</v>
      </c>
      <c r="R33" s="2">
        <v>56761.84</v>
      </c>
    </row>
    <row r="34" spans="1:18" x14ac:dyDescent="0.25">
      <c r="A34" s="1">
        <v>45964</v>
      </c>
      <c r="B34" s="1">
        <v>3</v>
      </c>
      <c r="C34" s="5">
        <v>5</v>
      </c>
      <c r="D34" s="5">
        <v>1875</v>
      </c>
      <c r="E34" s="7" t="str">
        <f t="shared" si="0"/>
        <v>000500001875</v>
      </c>
      <c r="F34" s="7" t="str">
        <f t="shared" si="1"/>
        <v>30707509976000500001875</v>
      </c>
      <c r="G34" s="5">
        <v>75446334904941</v>
      </c>
      <c r="H34" s="1">
        <v>80</v>
      </c>
      <c r="I34" s="5">
        <v>30707509976</v>
      </c>
      <c r="J34" s="1" t="s">
        <v>171</v>
      </c>
      <c r="K34" s="5">
        <v>1</v>
      </c>
      <c r="L34" s="1" t="s">
        <v>168</v>
      </c>
      <c r="M34" s="5">
        <v>64214.18</v>
      </c>
      <c r="N34" s="5">
        <v>0</v>
      </c>
      <c r="O34" s="5">
        <v>0</v>
      </c>
      <c r="P34" s="5">
        <v>0</v>
      </c>
      <c r="Q34" s="2">
        <v>13484.98</v>
      </c>
      <c r="R34" s="2">
        <v>77699.16</v>
      </c>
    </row>
    <row r="35" spans="1:18" x14ac:dyDescent="0.25">
      <c r="A35" s="1">
        <v>45964</v>
      </c>
      <c r="B35" s="1">
        <v>3</v>
      </c>
      <c r="C35" s="5">
        <v>201</v>
      </c>
      <c r="D35" s="5">
        <v>269929</v>
      </c>
      <c r="E35" s="7" t="str">
        <f t="shared" si="0"/>
        <v>020100269929</v>
      </c>
      <c r="F35" s="7" t="str">
        <f t="shared" si="1"/>
        <v>30500529071020100269929</v>
      </c>
      <c r="G35" s="5">
        <v>35431670074949</v>
      </c>
      <c r="H35" s="1">
        <v>80</v>
      </c>
      <c r="I35" s="5">
        <v>30500529071</v>
      </c>
      <c r="J35" s="1" t="s">
        <v>179</v>
      </c>
      <c r="K35" s="5">
        <v>1</v>
      </c>
      <c r="L35" s="1" t="s">
        <v>168</v>
      </c>
      <c r="M35" s="5">
        <v>538936.43000000005</v>
      </c>
      <c r="N35" s="5"/>
      <c r="O35" s="5"/>
      <c r="P35" s="5">
        <v>16168.09</v>
      </c>
      <c r="Q35" s="5">
        <v>113176.65</v>
      </c>
      <c r="R35" s="5">
        <v>668281.18999999994</v>
      </c>
    </row>
    <row r="36" spans="1:18" x14ac:dyDescent="0.25">
      <c r="A36" s="1">
        <v>45964</v>
      </c>
      <c r="B36" s="1">
        <v>6</v>
      </c>
      <c r="C36" s="5">
        <v>9</v>
      </c>
      <c r="D36" s="5">
        <v>19924</v>
      </c>
      <c r="E36" s="7" t="str">
        <f t="shared" si="0"/>
        <v>000900019924</v>
      </c>
      <c r="F36" s="7" t="str">
        <f t="shared" si="1"/>
        <v>20216414897000900019924</v>
      </c>
      <c r="G36" s="5">
        <v>75447317985785</v>
      </c>
      <c r="H36" s="1">
        <v>80</v>
      </c>
      <c r="I36" s="5">
        <v>20216414897</v>
      </c>
      <c r="J36" s="1" t="s">
        <v>311</v>
      </c>
      <c r="K36" s="5">
        <v>1</v>
      </c>
      <c r="L36" s="1" t="s">
        <v>168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25767.02</v>
      </c>
    </row>
    <row r="37" spans="1:18" x14ac:dyDescent="0.25">
      <c r="A37" s="1">
        <v>45964</v>
      </c>
      <c r="B37" s="1">
        <v>11</v>
      </c>
      <c r="C37" s="5">
        <v>100</v>
      </c>
      <c r="D37" s="5">
        <v>1325670</v>
      </c>
      <c r="E37" s="7" t="str">
        <f t="shared" si="0"/>
        <v>010001325670</v>
      </c>
      <c r="F37" s="7" t="str">
        <f t="shared" si="1"/>
        <v>30567510138010001325670</v>
      </c>
      <c r="G37" s="5">
        <v>75438585782815</v>
      </c>
      <c r="H37" s="1">
        <v>80</v>
      </c>
      <c r="I37" s="5">
        <v>30567510138</v>
      </c>
      <c r="J37" s="1" t="s">
        <v>173</v>
      </c>
      <c r="K37" s="5">
        <v>1</v>
      </c>
      <c r="L37" s="1" t="s">
        <v>168</v>
      </c>
      <c r="M37" s="5">
        <v>0</v>
      </c>
      <c r="N37" s="5">
        <v>0</v>
      </c>
      <c r="O37" s="5">
        <v>0</v>
      </c>
      <c r="P37" s="5">
        <v>0</v>
      </c>
      <c r="Q37" s="1">
        <v>0</v>
      </c>
      <c r="R37" s="1">
        <v>842432</v>
      </c>
    </row>
    <row r="38" spans="1:18" x14ac:dyDescent="0.25">
      <c r="A38" s="1">
        <v>45964</v>
      </c>
      <c r="B38" s="1">
        <v>11</v>
      </c>
      <c r="C38" s="5">
        <v>3</v>
      </c>
      <c r="D38" s="5">
        <v>143</v>
      </c>
      <c r="E38" s="7" t="str">
        <f t="shared" si="0"/>
        <v>000300000143</v>
      </c>
      <c r="F38" s="7" t="str">
        <f t="shared" si="1"/>
        <v>23292606389000300000143</v>
      </c>
      <c r="G38" s="5">
        <v>75449330606094</v>
      </c>
      <c r="H38" s="1">
        <v>80</v>
      </c>
      <c r="I38" s="5">
        <v>23292606389</v>
      </c>
      <c r="J38" s="1" t="s">
        <v>266</v>
      </c>
      <c r="K38" s="5">
        <v>1</v>
      </c>
      <c r="L38" s="1" t="s">
        <v>168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120000</v>
      </c>
    </row>
    <row r="39" spans="1:18" x14ac:dyDescent="0.25">
      <c r="A39" s="1">
        <v>45964</v>
      </c>
      <c r="B39" s="1">
        <v>11</v>
      </c>
      <c r="C39" s="5">
        <v>3</v>
      </c>
      <c r="D39" s="5">
        <v>918</v>
      </c>
      <c r="E39" s="7" t="str">
        <f t="shared" si="0"/>
        <v>000300000918</v>
      </c>
      <c r="F39" s="7" t="str">
        <f t="shared" si="1"/>
        <v>20314191294000300000918</v>
      </c>
      <c r="G39" s="5">
        <v>75444307728486</v>
      </c>
      <c r="H39" s="1">
        <v>80</v>
      </c>
      <c r="I39" s="5">
        <v>20314191294</v>
      </c>
      <c r="J39" s="1" t="s">
        <v>474</v>
      </c>
      <c r="K39" s="5">
        <v>1</v>
      </c>
      <c r="L39" s="1" t="s">
        <v>168</v>
      </c>
      <c r="M39" s="2">
        <v>0</v>
      </c>
      <c r="N39" s="5">
        <v>0</v>
      </c>
      <c r="O39" s="5">
        <v>0</v>
      </c>
      <c r="P39" s="5">
        <v>0</v>
      </c>
      <c r="Q39" s="2">
        <v>0</v>
      </c>
      <c r="R39" s="5">
        <v>50000</v>
      </c>
    </row>
    <row r="40" spans="1:18" x14ac:dyDescent="0.25">
      <c r="A40" s="1">
        <v>45964</v>
      </c>
      <c r="B40" s="1">
        <v>11</v>
      </c>
      <c r="C40" s="5">
        <v>1</v>
      </c>
      <c r="D40" s="5">
        <v>119</v>
      </c>
      <c r="E40" s="7" t="str">
        <f t="shared" si="0"/>
        <v>000100000119</v>
      </c>
      <c r="F40" s="7" t="str">
        <f t="shared" si="1"/>
        <v>20177222802000100000119</v>
      </c>
      <c r="G40" s="5">
        <v>75442408496530</v>
      </c>
      <c r="H40" s="1">
        <v>80</v>
      </c>
      <c r="I40" s="5">
        <v>20177222802</v>
      </c>
      <c r="J40" s="1" t="s">
        <v>69</v>
      </c>
      <c r="K40" s="5">
        <v>1</v>
      </c>
      <c r="L40" s="1" t="s">
        <v>168</v>
      </c>
      <c r="M40" s="5">
        <v>0</v>
      </c>
      <c r="N40" s="5">
        <v>0</v>
      </c>
      <c r="O40" s="5">
        <v>0</v>
      </c>
      <c r="P40" s="5">
        <v>0</v>
      </c>
      <c r="Q40" s="1">
        <v>0</v>
      </c>
      <c r="R40" s="1">
        <v>1212100</v>
      </c>
    </row>
    <row r="41" spans="1:18" x14ac:dyDescent="0.25">
      <c r="A41" s="1">
        <v>45964</v>
      </c>
      <c r="B41" s="1">
        <v>11</v>
      </c>
      <c r="C41" s="5">
        <v>1</v>
      </c>
      <c r="D41" s="5">
        <v>199</v>
      </c>
      <c r="E41" s="7" t="str">
        <f t="shared" si="0"/>
        <v>000100000199</v>
      </c>
      <c r="F41" s="7" t="str">
        <f t="shared" si="1"/>
        <v>27181583644000100000199</v>
      </c>
      <c r="G41" s="5">
        <v>75444392803487</v>
      </c>
      <c r="H41" s="1">
        <v>80</v>
      </c>
      <c r="I41" s="5">
        <v>27181583644</v>
      </c>
      <c r="J41" s="1" t="s">
        <v>94</v>
      </c>
      <c r="K41" s="5">
        <v>1</v>
      </c>
      <c r="L41" s="1" t="s">
        <v>168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467000</v>
      </c>
    </row>
    <row r="42" spans="1:18" x14ac:dyDescent="0.25">
      <c r="A42" s="1">
        <v>45964</v>
      </c>
      <c r="B42" s="1">
        <v>11</v>
      </c>
      <c r="C42" s="5">
        <v>1</v>
      </c>
      <c r="D42" s="5">
        <v>98</v>
      </c>
      <c r="E42" s="7" t="str">
        <f t="shared" si="0"/>
        <v>000100000098</v>
      </c>
      <c r="F42" s="7" t="str">
        <f t="shared" si="1"/>
        <v>27301695689000100000098</v>
      </c>
      <c r="G42" s="5">
        <v>75459445457776</v>
      </c>
      <c r="H42" s="1">
        <v>80</v>
      </c>
      <c r="I42" s="5">
        <v>27301695689</v>
      </c>
      <c r="J42" s="1" t="s">
        <v>261</v>
      </c>
      <c r="K42" s="5">
        <v>1</v>
      </c>
      <c r="L42" s="1" t="s">
        <v>168</v>
      </c>
      <c r="M42" s="2">
        <v>0</v>
      </c>
      <c r="N42" s="5">
        <v>0</v>
      </c>
      <c r="O42" s="5">
        <v>0</v>
      </c>
      <c r="P42" s="5">
        <v>0</v>
      </c>
      <c r="Q42" s="2">
        <v>0</v>
      </c>
      <c r="R42" s="2">
        <v>1625000</v>
      </c>
    </row>
    <row r="43" spans="1:18" x14ac:dyDescent="0.25">
      <c r="A43" s="1">
        <v>45964</v>
      </c>
      <c r="B43" s="1">
        <v>15</v>
      </c>
      <c r="C43" s="5">
        <v>2</v>
      </c>
      <c r="D43" s="5">
        <v>3003</v>
      </c>
      <c r="E43" s="7" t="str">
        <f t="shared" si="0"/>
        <v>000200003003</v>
      </c>
      <c r="F43" s="7" t="str">
        <f t="shared" si="1"/>
        <v>30681948623000200003003</v>
      </c>
      <c r="G43" s="5">
        <v>75433525242533</v>
      </c>
      <c r="H43" s="1">
        <v>80</v>
      </c>
      <c r="I43" s="5">
        <v>30681948623</v>
      </c>
      <c r="J43" s="1" t="s">
        <v>174</v>
      </c>
      <c r="K43" s="5">
        <v>1</v>
      </c>
      <c r="L43" s="1" t="s">
        <v>168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10000</v>
      </c>
    </row>
    <row r="44" spans="1:18" x14ac:dyDescent="0.25">
      <c r="A44" s="1">
        <v>45965</v>
      </c>
      <c r="B44" s="1">
        <v>1</v>
      </c>
      <c r="C44" s="5">
        <v>19</v>
      </c>
      <c r="D44" s="5">
        <v>3764</v>
      </c>
      <c r="E44" s="7" t="str">
        <f t="shared" si="0"/>
        <v>001900003764</v>
      </c>
      <c r="F44" s="7" t="str">
        <f t="shared" si="1"/>
        <v>30601652044001900003764</v>
      </c>
      <c r="G44" s="5">
        <v>75444439421858</v>
      </c>
      <c r="H44" s="1">
        <v>80</v>
      </c>
      <c r="I44" s="5">
        <v>30601652044</v>
      </c>
      <c r="J44" s="1" t="s">
        <v>92</v>
      </c>
      <c r="K44" s="5">
        <v>1</v>
      </c>
      <c r="L44" s="1" t="s">
        <v>168</v>
      </c>
      <c r="M44" s="5">
        <v>2588.3200000000002</v>
      </c>
      <c r="N44" s="5">
        <v>0</v>
      </c>
      <c r="O44" s="5">
        <v>0</v>
      </c>
      <c r="P44" s="5">
        <v>0</v>
      </c>
      <c r="Q44" s="5">
        <v>543.54999999999995</v>
      </c>
      <c r="R44" s="5">
        <v>3131.87</v>
      </c>
    </row>
    <row r="45" spans="1:18" x14ac:dyDescent="0.25">
      <c r="A45" s="1">
        <v>45965</v>
      </c>
      <c r="B45" s="1">
        <v>1</v>
      </c>
      <c r="C45" s="5">
        <v>4</v>
      </c>
      <c r="D45" s="5">
        <v>17859</v>
      </c>
      <c r="E45" s="7" t="str">
        <f t="shared" si="0"/>
        <v>000400017859</v>
      </c>
      <c r="F45" s="7" t="str">
        <f t="shared" si="1"/>
        <v>20062436965000400017859</v>
      </c>
      <c r="G45" s="5">
        <v>75445473271275</v>
      </c>
      <c r="H45" s="1">
        <v>80</v>
      </c>
      <c r="I45" s="5">
        <v>20062436965</v>
      </c>
      <c r="J45" s="1" t="s">
        <v>188</v>
      </c>
      <c r="K45" s="5">
        <v>1</v>
      </c>
      <c r="L45" s="1" t="s">
        <v>168</v>
      </c>
      <c r="M45" s="2">
        <v>915996.85</v>
      </c>
      <c r="N45" s="1">
        <v>0</v>
      </c>
      <c r="O45" s="1">
        <v>0</v>
      </c>
      <c r="P45" s="5">
        <v>0</v>
      </c>
      <c r="Q45" s="2">
        <v>192359.34</v>
      </c>
      <c r="R45" s="2">
        <v>1108356.19</v>
      </c>
    </row>
    <row r="46" spans="1:18" x14ac:dyDescent="0.25">
      <c r="A46" s="1">
        <v>45965</v>
      </c>
      <c r="B46" s="1">
        <v>1</v>
      </c>
      <c r="C46" s="5">
        <v>5</v>
      </c>
      <c r="D46" s="5">
        <v>1693</v>
      </c>
      <c r="E46" s="7" t="str">
        <f t="shared" si="0"/>
        <v>000500001693</v>
      </c>
      <c r="F46" s="7" t="str">
        <f t="shared" si="1"/>
        <v>27171610163000500001693</v>
      </c>
      <c r="G46" s="5">
        <v>75443520227263</v>
      </c>
      <c r="H46" s="1">
        <v>80</v>
      </c>
      <c r="I46" s="5">
        <v>27171610163</v>
      </c>
      <c r="J46" s="1" t="s">
        <v>885</v>
      </c>
      <c r="K46" s="5">
        <v>1</v>
      </c>
      <c r="L46" s="1" t="s">
        <v>168</v>
      </c>
      <c r="M46" s="5">
        <v>13223.14</v>
      </c>
      <c r="N46" s="1">
        <v>0</v>
      </c>
      <c r="O46" s="1">
        <v>0</v>
      </c>
      <c r="P46" s="5">
        <v>0</v>
      </c>
      <c r="Q46" s="1">
        <v>2776.86</v>
      </c>
      <c r="R46" s="2">
        <v>16000</v>
      </c>
    </row>
    <row r="47" spans="1:18" x14ac:dyDescent="0.25">
      <c r="A47" s="1">
        <v>45965</v>
      </c>
      <c r="B47" s="1">
        <v>1</v>
      </c>
      <c r="C47" s="5">
        <v>18</v>
      </c>
      <c r="D47" s="5">
        <v>9317</v>
      </c>
      <c r="E47" s="7" t="str">
        <f t="shared" si="0"/>
        <v>001800009317</v>
      </c>
      <c r="F47" s="7" t="str">
        <f t="shared" si="1"/>
        <v>30601652044001800009317</v>
      </c>
      <c r="G47" s="5">
        <v>75444498650600</v>
      </c>
      <c r="H47" s="1">
        <v>80</v>
      </c>
      <c r="I47" s="5">
        <v>30601652044</v>
      </c>
      <c r="J47" s="1" t="s">
        <v>92</v>
      </c>
      <c r="K47" s="5">
        <v>1</v>
      </c>
      <c r="L47" s="1" t="s">
        <v>168</v>
      </c>
      <c r="M47" s="2">
        <v>63022.400000000001</v>
      </c>
      <c r="N47" s="1">
        <v>0</v>
      </c>
      <c r="O47" s="1">
        <v>0</v>
      </c>
      <c r="P47" s="5">
        <v>0</v>
      </c>
      <c r="Q47" s="2">
        <v>13234.7</v>
      </c>
      <c r="R47" s="1">
        <v>76257.100000000006</v>
      </c>
    </row>
    <row r="48" spans="1:18" x14ac:dyDescent="0.25">
      <c r="A48" s="1">
        <v>45965</v>
      </c>
      <c r="B48" s="1">
        <v>1</v>
      </c>
      <c r="C48" s="5">
        <v>2</v>
      </c>
      <c r="D48" s="5">
        <v>66088</v>
      </c>
      <c r="E48" s="7" t="str">
        <f t="shared" si="0"/>
        <v>000200066088</v>
      </c>
      <c r="F48" s="7" t="str">
        <f t="shared" si="1"/>
        <v>30708506237000200066088</v>
      </c>
      <c r="G48" s="5">
        <v>75447449862235</v>
      </c>
      <c r="H48" s="1">
        <v>80</v>
      </c>
      <c r="I48" s="5">
        <v>30708506237</v>
      </c>
      <c r="J48" s="1" t="s">
        <v>132</v>
      </c>
      <c r="K48" s="5">
        <v>1</v>
      </c>
      <c r="L48" s="1" t="s">
        <v>168</v>
      </c>
      <c r="M48" s="1">
        <v>131830</v>
      </c>
      <c r="N48" s="1">
        <v>0</v>
      </c>
      <c r="O48" s="1">
        <v>0</v>
      </c>
      <c r="P48" s="5">
        <v>0</v>
      </c>
      <c r="Q48" s="1">
        <v>27684.3</v>
      </c>
      <c r="R48" s="5">
        <v>159514.29999999999</v>
      </c>
    </row>
    <row r="49" spans="1:18" x14ac:dyDescent="0.25">
      <c r="A49" s="1">
        <v>45965</v>
      </c>
      <c r="B49" s="1">
        <v>1</v>
      </c>
      <c r="C49" s="5">
        <v>34</v>
      </c>
      <c r="D49" s="5">
        <v>47651</v>
      </c>
      <c r="E49" s="7" t="str">
        <f t="shared" si="0"/>
        <v>003400047651</v>
      </c>
      <c r="F49" s="7" t="str">
        <f t="shared" si="1"/>
        <v>30701041476003400047651</v>
      </c>
      <c r="G49" s="5">
        <v>75446438064033</v>
      </c>
      <c r="H49" s="1">
        <v>80</v>
      </c>
      <c r="I49" s="5">
        <v>30701041476</v>
      </c>
      <c r="J49" s="1" t="s">
        <v>143</v>
      </c>
      <c r="K49" s="5">
        <v>1</v>
      </c>
      <c r="L49" s="1" t="s">
        <v>168</v>
      </c>
      <c r="M49" s="1">
        <v>95027.77</v>
      </c>
      <c r="N49" s="1">
        <v>0</v>
      </c>
      <c r="O49" s="1">
        <v>0</v>
      </c>
      <c r="P49" s="5">
        <v>15016.4</v>
      </c>
      <c r="Q49" s="1">
        <v>19955.830000000002</v>
      </c>
      <c r="R49" s="5">
        <v>130000</v>
      </c>
    </row>
    <row r="50" spans="1:18" x14ac:dyDescent="0.25">
      <c r="A50" s="1">
        <v>45965</v>
      </c>
      <c r="B50" s="1">
        <v>1</v>
      </c>
      <c r="C50" s="5">
        <v>6</v>
      </c>
      <c r="D50" s="5">
        <v>21852</v>
      </c>
      <c r="E50" s="7" t="str">
        <f t="shared" si="0"/>
        <v>000600021852</v>
      </c>
      <c r="F50" s="7" t="str">
        <f t="shared" si="1"/>
        <v>20172227636000600021852</v>
      </c>
      <c r="G50" s="5">
        <v>75446483886692</v>
      </c>
      <c r="H50" s="1">
        <v>80</v>
      </c>
      <c r="I50" s="5">
        <v>20172227636</v>
      </c>
      <c r="J50" s="1" t="s">
        <v>495</v>
      </c>
      <c r="K50" s="5">
        <v>1</v>
      </c>
      <c r="L50" s="1" t="s">
        <v>168</v>
      </c>
      <c r="M50" s="1">
        <v>2083.7199999999998</v>
      </c>
      <c r="N50" s="1">
        <v>0</v>
      </c>
      <c r="O50" s="1">
        <v>0</v>
      </c>
      <c r="P50" s="5">
        <v>0</v>
      </c>
      <c r="Q50" s="1">
        <v>437.58</v>
      </c>
      <c r="R50" s="5">
        <v>2521.3000000000002</v>
      </c>
    </row>
    <row r="51" spans="1:18" x14ac:dyDescent="0.25">
      <c r="A51" s="1">
        <v>45965</v>
      </c>
      <c r="B51" s="1">
        <v>1</v>
      </c>
      <c r="C51" s="5">
        <v>2</v>
      </c>
      <c r="D51" s="5">
        <v>7784</v>
      </c>
      <c r="E51" s="7" t="str">
        <f t="shared" si="0"/>
        <v>000200007784</v>
      </c>
      <c r="F51" s="7" t="str">
        <f t="shared" si="1"/>
        <v>20242147341000200007784</v>
      </c>
      <c r="G51" s="5">
        <v>75441518365589</v>
      </c>
      <c r="H51" s="1">
        <v>80</v>
      </c>
      <c r="I51" s="5">
        <v>20242147341</v>
      </c>
      <c r="J51" s="1" t="s">
        <v>170</v>
      </c>
      <c r="K51" s="5">
        <v>1</v>
      </c>
      <c r="L51" s="1" t="s">
        <v>168</v>
      </c>
      <c r="M51" s="1">
        <v>99297</v>
      </c>
      <c r="N51" s="1">
        <v>0</v>
      </c>
      <c r="O51" s="1">
        <v>0</v>
      </c>
      <c r="P51" s="5">
        <v>0</v>
      </c>
      <c r="Q51" s="1">
        <v>20852.37</v>
      </c>
      <c r="R51" s="5">
        <v>120149.37</v>
      </c>
    </row>
    <row r="52" spans="1:18" x14ac:dyDescent="0.25">
      <c r="A52" s="1">
        <v>45965</v>
      </c>
      <c r="B52" s="1">
        <v>1</v>
      </c>
      <c r="C52" s="5">
        <v>4</v>
      </c>
      <c r="D52" s="5">
        <v>5097</v>
      </c>
      <c r="E52" s="7" t="str">
        <f t="shared" si="0"/>
        <v>000400005097</v>
      </c>
      <c r="F52" s="7" t="str">
        <f t="shared" si="1"/>
        <v>20168303980000400005097</v>
      </c>
      <c r="G52" s="5">
        <v>75440512259885</v>
      </c>
      <c r="H52" s="1">
        <v>80</v>
      </c>
      <c r="I52" s="5">
        <v>20168303980</v>
      </c>
      <c r="J52" s="1" t="s">
        <v>303</v>
      </c>
      <c r="K52" s="5">
        <v>1</v>
      </c>
      <c r="L52" s="1" t="s">
        <v>168</v>
      </c>
      <c r="M52" s="5">
        <v>784424.77</v>
      </c>
      <c r="N52" s="5">
        <v>0</v>
      </c>
      <c r="O52" s="5">
        <v>0</v>
      </c>
      <c r="P52" s="5">
        <v>19610.62</v>
      </c>
      <c r="Q52" s="5">
        <v>164729.20000000001</v>
      </c>
      <c r="R52" s="5">
        <v>968764.59</v>
      </c>
    </row>
    <row r="53" spans="1:18" x14ac:dyDescent="0.25">
      <c r="A53" s="1">
        <v>45965</v>
      </c>
      <c r="B53" s="1">
        <v>1</v>
      </c>
      <c r="C53" s="5">
        <v>100</v>
      </c>
      <c r="D53" s="5">
        <v>65155</v>
      </c>
      <c r="E53" s="7" t="str">
        <f t="shared" si="0"/>
        <v>010000065155</v>
      </c>
      <c r="F53" s="7" t="str">
        <f t="shared" si="1"/>
        <v>30653075002010000065155</v>
      </c>
      <c r="G53" s="5">
        <v>75442484426132</v>
      </c>
      <c r="H53" s="1">
        <v>80</v>
      </c>
      <c r="I53" s="5">
        <v>30653075002</v>
      </c>
      <c r="J53" s="1" t="s">
        <v>182</v>
      </c>
      <c r="K53" s="5">
        <v>1</v>
      </c>
      <c r="L53" s="1" t="s">
        <v>168</v>
      </c>
      <c r="M53" s="5">
        <v>14738184</v>
      </c>
      <c r="N53" s="5">
        <v>0</v>
      </c>
      <c r="O53" s="5">
        <v>0</v>
      </c>
      <c r="P53" s="5">
        <v>0</v>
      </c>
      <c r="Q53" s="5">
        <v>3095018.64</v>
      </c>
      <c r="R53" s="5">
        <v>17833202.640000001</v>
      </c>
    </row>
    <row r="54" spans="1:18" x14ac:dyDescent="0.25">
      <c r="A54" s="1">
        <v>45965</v>
      </c>
      <c r="B54" s="1">
        <v>1</v>
      </c>
      <c r="C54" s="5">
        <v>100</v>
      </c>
      <c r="D54" s="5">
        <v>65156</v>
      </c>
      <c r="E54" s="7" t="str">
        <f t="shared" si="0"/>
        <v>010000065156</v>
      </c>
      <c r="F54" s="7" t="str">
        <f t="shared" si="1"/>
        <v>30653075002010000065156</v>
      </c>
      <c r="G54" s="5">
        <v>75442484427926</v>
      </c>
      <c r="H54" s="1">
        <v>80</v>
      </c>
      <c r="I54" s="5">
        <v>30653075002</v>
      </c>
      <c r="J54" s="1" t="s">
        <v>182</v>
      </c>
      <c r="K54" s="5">
        <v>1</v>
      </c>
      <c r="L54" s="1" t="s">
        <v>168</v>
      </c>
      <c r="M54" s="2">
        <v>12493728</v>
      </c>
      <c r="N54" s="5">
        <v>0</v>
      </c>
      <c r="O54" s="5">
        <v>0</v>
      </c>
      <c r="P54" s="5">
        <v>0</v>
      </c>
      <c r="Q54" s="2">
        <v>2623682.88</v>
      </c>
      <c r="R54" s="5">
        <v>15117410.880000001</v>
      </c>
    </row>
    <row r="55" spans="1:18" x14ac:dyDescent="0.25">
      <c r="A55" s="1">
        <v>45965</v>
      </c>
      <c r="B55" s="1">
        <v>1</v>
      </c>
      <c r="C55" s="5">
        <v>10</v>
      </c>
      <c r="D55" s="5">
        <v>16660</v>
      </c>
      <c r="E55" s="7" t="str">
        <f t="shared" si="0"/>
        <v>001000016660</v>
      </c>
      <c r="F55" s="7" t="str">
        <f t="shared" si="1"/>
        <v>30682681108001000016660</v>
      </c>
      <c r="G55" s="5">
        <v>75458624310279</v>
      </c>
      <c r="H55" s="1">
        <v>80</v>
      </c>
      <c r="I55" s="5">
        <v>30682681108</v>
      </c>
      <c r="J55" s="1" t="s">
        <v>205</v>
      </c>
      <c r="K55" s="5">
        <v>1482</v>
      </c>
      <c r="L55" s="1" t="s">
        <v>206</v>
      </c>
      <c r="M55" s="2">
        <v>2.0299999999999998</v>
      </c>
      <c r="N55" s="5">
        <v>0</v>
      </c>
      <c r="O55" s="5">
        <v>0</v>
      </c>
      <c r="P55" s="5">
        <v>0</v>
      </c>
      <c r="Q55" s="1">
        <v>0.43</v>
      </c>
      <c r="R55" s="2">
        <v>2.46</v>
      </c>
    </row>
    <row r="56" spans="1:18" x14ac:dyDescent="0.25">
      <c r="A56" s="1">
        <v>45965</v>
      </c>
      <c r="B56" s="1">
        <v>1</v>
      </c>
      <c r="C56" s="5">
        <v>1331</v>
      </c>
      <c r="D56" s="5">
        <v>1426453</v>
      </c>
      <c r="E56" s="7" t="str">
        <f t="shared" si="0"/>
        <v>133101426453</v>
      </c>
      <c r="F56" s="7" t="str">
        <f t="shared" si="1"/>
        <v>30663288497133101426453</v>
      </c>
      <c r="G56" s="5">
        <v>75457595969614</v>
      </c>
      <c r="H56" s="1">
        <v>80</v>
      </c>
      <c r="I56" s="5">
        <v>30663288497</v>
      </c>
      <c r="J56" s="1" t="s">
        <v>183</v>
      </c>
      <c r="K56" s="5">
        <v>1</v>
      </c>
      <c r="L56" s="1" t="s">
        <v>168</v>
      </c>
      <c r="M56" s="2">
        <v>459705</v>
      </c>
      <c r="N56" s="5">
        <v>0</v>
      </c>
      <c r="O56" s="5">
        <v>0</v>
      </c>
      <c r="P56" s="5">
        <v>31525.51</v>
      </c>
      <c r="Q56" s="2">
        <v>116755.21</v>
      </c>
      <c r="R56" s="2">
        <v>607985.72</v>
      </c>
    </row>
    <row r="57" spans="1:18" x14ac:dyDescent="0.25">
      <c r="A57" s="1">
        <v>45965</v>
      </c>
      <c r="B57" s="1">
        <v>1</v>
      </c>
      <c r="C57" s="5">
        <v>6</v>
      </c>
      <c r="D57" s="5">
        <v>159</v>
      </c>
      <c r="E57" s="7" t="str">
        <f t="shared" si="0"/>
        <v>000600000159</v>
      </c>
      <c r="F57" s="7" t="str">
        <f t="shared" si="1"/>
        <v>27208224803000600000159</v>
      </c>
      <c r="G57" s="5">
        <v>75443451223711</v>
      </c>
      <c r="H57" s="1">
        <v>80</v>
      </c>
      <c r="I57" s="5">
        <v>27208224803</v>
      </c>
      <c r="J57" s="1" t="s">
        <v>492</v>
      </c>
      <c r="K57" s="5">
        <v>1</v>
      </c>
      <c r="L57" s="1" t="s">
        <v>168</v>
      </c>
      <c r="M57" s="2">
        <v>28100</v>
      </c>
      <c r="N57" s="5">
        <v>0</v>
      </c>
      <c r="O57" s="5">
        <v>0</v>
      </c>
      <c r="P57" s="5">
        <v>0</v>
      </c>
      <c r="Q57" s="2">
        <v>5901</v>
      </c>
      <c r="R57" s="2">
        <v>34001</v>
      </c>
    </row>
    <row r="58" spans="1:18" x14ac:dyDescent="0.25">
      <c r="A58" s="1">
        <v>45965</v>
      </c>
      <c r="B58" s="1">
        <v>1</v>
      </c>
      <c r="C58" s="5">
        <v>4</v>
      </c>
      <c r="D58" s="5">
        <v>2700</v>
      </c>
      <c r="E58" s="7" t="str">
        <f t="shared" si="0"/>
        <v>000400002700</v>
      </c>
      <c r="F58" s="7" t="str">
        <f t="shared" si="1"/>
        <v>24275905050000400002700</v>
      </c>
      <c r="G58" s="5">
        <v>75440560817022</v>
      </c>
      <c r="H58" s="1">
        <v>80</v>
      </c>
      <c r="I58" s="5">
        <v>24275905050</v>
      </c>
      <c r="J58" s="1" t="s">
        <v>886</v>
      </c>
      <c r="K58" s="5">
        <v>1</v>
      </c>
      <c r="L58" s="1" t="s">
        <v>168</v>
      </c>
      <c r="M58" s="5">
        <v>36363.620000000003</v>
      </c>
      <c r="N58" s="5">
        <v>0</v>
      </c>
      <c r="O58" s="5">
        <v>0</v>
      </c>
      <c r="P58" s="5">
        <v>0</v>
      </c>
      <c r="Q58" s="5">
        <v>7636.36</v>
      </c>
      <c r="R58" s="5">
        <v>44000</v>
      </c>
    </row>
    <row r="59" spans="1:18" x14ac:dyDescent="0.25">
      <c r="A59" s="1">
        <v>45965</v>
      </c>
      <c r="B59" s="1">
        <v>1</v>
      </c>
      <c r="C59" s="5">
        <v>7</v>
      </c>
      <c r="D59" s="5">
        <v>222</v>
      </c>
      <c r="E59" s="7" t="str">
        <f t="shared" si="0"/>
        <v>000700000222</v>
      </c>
      <c r="F59" s="7" t="str">
        <f t="shared" si="1"/>
        <v>20333662249000700000222</v>
      </c>
      <c r="G59" s="5">
        <v>75449452348446</v>
      </c>
      <c r="H59" s="1">
        <v>80</v>
      </c>
      <c r="I59" s="5">
        <v>20333662249</v>
      </c>
      <c r="J59" s="1" t="s">
        <v>498</v>
      </c>
      <c r="K59" s="5">
        <v>1</v>
      </c>
      <c r="L59" s="1" t="s">
        <v>168</v>
      </c>
      <c r="M59" s="2">
        <v>404625</v>
      </c>
      <c r="N59" s="5">
        <v>0</v>
      </c>
      <c r="O59" s="5">
        <v>0</v>
      </c>
      <c r="P59" s="2">
        <v>0</v>
      </c>
      <c r="Q59" s="2">
        <v>84971.25</v>
      </c>
      <c r="R59" s="5">
        <v>489596.25</v>
      </c>
    </row>
    <row r="60" spans="1:18" x14ac:dyDescent="0.25">
      <c r="A60" s="1">
        <v>45965</v>
      </c>
      <c r="B60" s="1">
        <v>1</v>
      </c>
      <c r="C60" s="5">
        <v>2</v>
      </c>
      <c r="D60" s="5">
        <v>2021</v>
      </c>
      <c r="E60" s="7" t="str">
        <f t="shared" si="0"/>
        <v>000200002021</v>
      </c>
      <c r="F60" s="7" t="str">
        <f t="shared" si="1"/>
        <v>20173443634000200002021</v>
      </c>
      <c r="G60" s="5">
        <v>75444455594478</v>
      </c>
      <c r="H60" s="1">
        <v>80</v>
      </c>
      <c r="I60" s="5">
        <v>20173443634</v>
      </c>
      <c r="J60" s="1" t="s">
        <v>887</v>
      </c>
      <c r="K60" s="5">
        <v>1</v>
      </c>
      <c r="L60" s="1" t="s">
        <v>168</v>
      </c>
      <c r="M60" s="5">
        <v>17160</v>
      </c>
      <c r="N60" s="5">
        <v>0</v>
      </c>
      <c r="O60" s="5">
        <v>0</v>
      </c>
      <c r="P60" s="2">
        <v>0</v>
      </c>
      <c r="Q60" s="1">
        <v>3603.6</v>
      </c>
      <c r="R60" s="2">
        <v>20763.599999999999</v>
      </c>
    </row>
    <row r="61" spans="1:18" x14ac:dyDescent="0.25">
      <c r="A61" s="1">
        <v>45965</v>
      </c>
      <c r="B61" s="1">
        <v>1</v>
      </c>
      <c r="C61" s="5">
        <v>2</v>
      </c>
      <c r="D61" s="5">
        <v>409</v>
      </c>
      <c r="E61" s="7" t="str">
        <f t="shared" si="0"/>
        <v>000200000409</v>
      </c>
      <c r="F61" s="7" t="str">
        <f t="shared" si="1"/>
        <v>20085020944000200000409</v>
      </c>
      <c r="G61" s="5">
        <v>75444483858872</v>
      </c>
      <c r="H61" s="1">
        <v>80</v>
      </c>
      <c r="I61" s="5">
        <v>20085020944</v>
      </c>
      <c r="J61" s="1" t="s">
        <v>87</v>
      </c>
      <c r="K61" s="5">
        <v>1</v>
      </c>
      <c r="L61" s="1" t="s">
        <v>168</v>
      </c>
      <c r="M61" s="2">
        <v>1119402</v>
      </c>
      <c r="N61" s="5">
        <v>0</v>
      </c>
      <c r="O61" s="5">
        <v>60000</v>
      </c>
      <c r="P61" s="5">
        <v>0</v>
      </c>
      <c r="Q61" s="2">
        <v>235074.42</v>
      </c>
      <c r="R61" s="2">
        <v>1414476.42</v>
      </c>
    </row>
    <row r="62" spans="1:18" x14ac:dyDescent="0.25">
      <c r="A62" s="1">
        <v>45965</v>
      </c>
      <c r="B62" s="1">
        <v>1</v>
      </c>
      <c r="C62" s="5">
        <v>2</v>
      </c>
      <c r="D62" s="5">
        <v>2262</v>
      </c>
      <c r="E62" s="7" t="str">
        <f t="shared" si="0"/>
        <v>000200002262</v>
      </c>
      <c r="F62" s="7" t="str">
        <f t="shared" si="1"/>
        <v>20201399298000200002262</v>
      </c>
      <c r="G62" s="5">
        <v>75448453486360</v>
      </c>
      <c r="H62" s="1">
        <v>80</v>
      </c>
      <c r="I62" s="5">
        <v>20201399298</v>
      </c>
      <c r="J62" s="1" t="s">
        <v>273</v>
      </c>
      <c r="K62" s="5">
        <v>1</v>
      </c>
      <c r="L62" s="1" t="s">
        <v>168</v>
      </c>
      <c r="M62" s="2">
        <v>396496.76</v>
      </c>
      <c r="N62" s="5">
        <v>0</v>
      </c>
      <c r="O62" s="5">
        <v>0</v>
      </c>
      <c r="P62" s="5">
        <v>0</v>
      </c>
      <c r="Q62" s="2">
        <v>83264.320000000007</v>
      </c>
      <c r="R62" s="5">
        <v>479761.07</v>
      </c>
    </row>
    <row r="63" spans="1:18" x14ac:dyDescent="0.25">
      <c r="A63" s="1">
        <v>45965</v>
      </c>
      <c r="B63" s="1">
        <v>1</v>
      </c>
      <c r="C63" s="5">
        <v>215</v>
      </c>
      <c r="D63" s="5">
        <v>100311</v>
      </c>
      <c r="E63" s="7" t="str">
        <f t="shared" si="0"/>
        <v>021500100311</v>
      </c>
      <c r="F63" s="7" t="str">
        <f t="shared" si="1"/>
        <v>30500529071021500100311</v>
      </c>
      <c r="G63" s="5">
        <v>35431670074949</v>
      </c>
      <c r="H63" s="1">
        <v>80</v>
      </c>
      <c r="I63" s="5">
        <v>30500529071</v>
      </c>
      <c r="J63" s="1" t="s">
        <v>179</v>
      </c>
      <c r="K63" s="5">
        <v>1</v>
      </c>
      <c r="L63" s="1" t="s">
        <v>168</v>
      </c>
      <c r="M63" s="5">
        <v>24359539.859999999</v>
      </c>
      <c r="N63" s="5"/>
      <c r="O63" s="5"/>
      <c r="P63" s="5">
        <v>1339774.69</v>
      </c>
      <c r="Q63" s="5">
        <v>5115503.37</v>
      </c>
      <c r="R63" s="5">
        <v>30814817.899999999</v>
      </c>
    </row>
    <row r="64" spans="1:18" x14ac:dyDescent="0.25">
      <c r="A64" s="1">
        <v>45965</v>
      </c>
      <c r="B64" s="1">
        <v>1</v>
      </c>
      <c r="C64" s="5">
        <v>215</v>
      </c>
      <c r="D64" s="5">
        <v>100312</v>
      </c>
      <c r="E64" s="7" t="str">
        <f t="shared" si="0"/>
        <v>021500100312</v>
      </c>
      <c r="F64" s="7" t="str">
        <f t="shared" si="1"/>
        <v>30500529071021500100312</v>
      </c>
      <c r="G64" s="5">
        <v>35431670074949</v>
      </c>
      <c r="H64" s="1">
        <v>80</v>
      </c>
      <c r="I64" s="5">
        <v>30500529071</v>
      </c>
      <c r="J64" s="1" t="s">
        <v>179</v>
      </c>
      <c r="K64" s="5">
        <v>1</v>
      </c>
      <c r="L64" s="1" t="s">
        <v>168</v>
      </c>
      <c r="M64" s="5">
        <v>198615.81</v>
      </c>
      <c r="N64" s="5"/>
      <c r="O64" s="5"/>
      <c r="P64" s="5">
        <v>10923.88</v>
      </c>
      <c r="Q64" s="5">
        <v>41709.32</v>
      </c>
      <c r="R64" s="5">
        <v>251249.01</v>
      </c>
    </row>
    <row r="65" spans="1:18" x14ac:dyDescent="0.25">
      <c r="A65" s="1">
        <v>45965</v>
      </c>
      <c r="B65" s="1">
        <v>3</v>
      </c>
      <c r="C65" s="5">
        <v>1203</v>
      </c>
      <c r="D65" s="5">
        <v>362</v>
      </c>
      <c r="E65" s="7" t="str">
        <f t="shared" si="0"/>
        <v>120300000362</v>
      </c>
      <c r="F65" s="7" t="str">
        <f t="shared" si="1"/>
        <v>30708492945120300000362</v>
      </c>
      <c r="G65" s="5">
        <v>75445446847861</v>
      </c>
      <c r="H65" s="1">
        <v>80</v>
      </c>
      <c r="I65" s="5">
        <v>30708492945</v>
      </c>
      <c r="J65" s="1" t="s">
        <v>312</v>
      </c>
      <c r="K65" s="5">
        <v>1345.0068000000001</v>
      </c>
      <c r="L65" s="1" t="s">
        <v>206</v>
      </c>
      <c r="M65" s="5">
        <v>293.58</v>
      </c>
      <c r="N65" s="5">
        <v>0</v>
      </c>
      <c r="O65" s="5">
        <v>0</v>
      </c>
      <c r="P65" s="5">
        <v>0</v>
      </c>
      <c r="Q65" s="5">
        <v>61.65</v>
      </c>
      <c r="R65" s="5">
        <v>355.23</v>
      </c>
    </row>
    <row r="66" spans="1:18" x14ac:dyDescent="0.25">
      <c r="A66" s="1">
        <v>45965</v>
      </c>
      <c r="B66" s="1">
        <v>3</v>
      </c>
      <c r="C66" s="5">
        <v>333</v>
      </c>
      <c r="D66" s="5">
        <v>11234</v>
      </c>
      <c r="E66" s="7" t="str">
        <f t="shared" si="0"/>
        <v>033300011234</v>
      </c>
      <c r="F66" s="7" t="str">
        <f t="shared" si="1"/>
        <v>30646512952033300011234</v>
      </c>
      <c r="G66" s="5">
        <v>35432150758787</v>
      </c>
      <c r="H66" s="1">
        <v>80</v>
      </c>
      <c r="I66" s="5">
        <v>30646512952</v>
      </c>
      <c r="J66" s="1" t="s">
        <v>320</v>
      </c>
      <c r="K66" s="5">
        <v>1</v>
      </c>
      <c r="L66" s="1" t="s">
        <v>168</v>
      </c>
      <c r="M66" s="2">
        <v>71574.89</v>
      </c>
      <c r="N66" s="5">
        <v>0</v>
      </c>
      <c r="O66" s="5">
        <v>0</v>
      </c>
      <c r="P66" s="5">
        <v>0</v>
      </c>
      <c r="Q66" s="2">
        <v>15030.73</v>
      </c>
      <c r="R66" s="2">
        <v>86605.62</v>
      </c>
    </row>
    <row r="67" spans="1:18" x14ac:dyDescent="0.25">
      <c r="A67" s="1">
        <v>45965</v>
      </c>
      <c r="B67" s="1">
        <v>3</v>
      </c>
      <c r="C67" s="5">
        <v>333</v>
      </c>
      <c r="D67" s="5">
        <v>11236</v>
      </c>
      <c r="E67" s="7" t="str">
        <f t="shared" ref="E67:E130" si="2">TEXT(C67,"0000")&amp;TEXT(D67,"00000000")</f>
        <v>033300011236</v>
      </c>
      <c r="F67" s="7" t="str">
        <f t="shared" ref="F67:F130" si="3">I67&amp;E67</f>
        <v>30646512952033300011236</v>
      </c>
      <c r="G67" s="5">
        <v>35432150758787</v>
      </c>
      <c r="H67" s="1">
        <v>80</v>
      </c>
      <c r="I67" s="5">
        <v>30646512952</v>
      </c>
      <c r="J67" s="1" t="s">
        <v>320</v>
      </c>
      <c r="K67" s="5">
        <v>1</v>
      </c>
      <c r="L67" s="1" t="s">
        <v>168</v>
      </c>
      <c r="M67" s="5">
        <v>41008.39</v>
      </c>
      <c r="N67" s="5">
        <v>0</v>
      </c>
      <c r="O67" s="5">
        <v>0</v>
      </c>
      <c r="P67" s="5">
        <v>0</v>
      </c>
      <c r="Q67" s="5">
        <v>8611.76</v>
      </c>
      <c r="R67" s="5">
        <v>49620.15</v>
      </c>
    </row>
    <row r="68" spans="1:18" x14ac:dyDescent="0.25">
      <c r="A68" s="1">
        <v>45965</v>
      </c>
      <c r="B68" s="1">
        <v>3</v>
      </c>
      <c r="C68" s="5">
        <v>333</v>
      </c>
      <c r="D68" s="5">
        <v>11237</v>
      </c>
      <c r="E68" s="7" t="str">
        <f t="shared" si="2"/>
        <v>033300011237</v>
      </c>
      <c r="F68" s="7" t="str">
        <f t="shared" si="3"/>
        <v>30646512952033300011237</v>
      </c>
      <c r="G68" s="5">
        <v>35432150758787</v>
      </c>
      <c r="H68" s="1">
        <v>80</v>
      </c>
      <c r="I68" s="5">
        <v>30646512952</v>
      </c>
      <c r="J68" s="1" t="s">
        <v>320</v>
      </c>
      <c r="K68" s="5">
        <v>1</v>
      </c>
      <c r="L68" s="1" t="s">
        <v>168</v>
      </c>
      <c r="M68" s="1">
        <v>34708.93</v>
      </c>
      <c r="N68" s="1">
        <v>0</v>
      </c>
      <c r="O68" s="1">
        <v>0</v>
      </c>
      <c r="P68" s="5">
        <v>0</v>
      </c>
      <c r="Q68" s="5">
        <v>7288.88</v>
      </c>
      <c r="R68" s="1">
        <v>41997.81</v>
      </c>
    </row>
    <row r="69" spans="1:18" x14ac:dyDescent="0.25">
      <c r="A69" s="1">
        <v>45965</v>
      </c>
      <c r="B69" s="1">
        <v>3</v>
      </c>
      <c r="C69" s="5">
        <v>32</v>
      </c>
      <c r="D69" s="5">
        <v>164767</v>
      </c>
      <c r="E69" s="7" t="str">
        <f t="shared" si="2"/>
        <v>003200164767</v>
      </c>
      <c r="F69" s="7" t="str">
        <f t="shared" si="3"/>
        <v>30621181838003200164767</v>
      </c>
      <c r="G69" s="5">
        <v>75448522531658</v>
      </c>
      <c r="H69" s="1">
        <v>80</v>
      </c>
      <c r="I69" s="5">
        <v>30621181838</v>
      </c>
      <c r="J69" s="1" t="s">
        <v>180</v>
      </c>
      <c r="K69" s="5">
        <v>1</v>
      </c>
      <c r="L69" s="1" t="s">
        <v>168</v>
      </c>
      <c r="M69" s="1">
        <v>45991330.520000003</v>
      </c>
      <c r="P69" s="5">
        <v>0</v>
      </c>
      <c r="Q69" s="1">
        <v>9658179.4100000001</v>
      </c>
      <c r="R69" s="2">
        <v>55649509.950000003</v>
      </c>
    </row>
    <row r="70" spans="1:18" x14ac:dyDescent="0.25">
      <c r="A70" s="1">
        <v>45965</v>
      </c>
      <c r="B70" s="1">
        <v>3</v>
      </c>
      <c r="C70" s="5">
        <v>21</v>
      </c>
      <c r="D70" s="5">
        <v>242996</v>
      </c>
      <c r="E70" s="7" t="str">
        <f t="shared" si="2"/>
        <v>002100242996</v>
      </c>
      <c r="F70" s="7" t="str">
        <f t="shared" si="3"/>
        <v>33522734549002100242996</v>
      </c>
      <c r="G70" s="5">
        <v>35439367218964</v>
      </c>
      <c r="H70" s="1">
        <v>80</v>
      </c>
      <c r="I70" s="5">
        <v>33522734549</v>
      </c>
      <c r="J70" s="1" t="s">
        <v>193</v>
      </c>
      <c r="K70" s="5">
        <v>1</v>
      </c>
      <c r="L70" s="1" t="s">
        <v>168</v>
      </c>
      <c r="M70" s="1">
        <v>7636792.5700000003</v>
      </c>
      <c r="N70" s="1">
        <v>0</v>
      </c>
      <c r="O70" s="1">
        <v>0</v>
      </c>
      <c r="P70" s="5">
        <v>0</v>
      </c>
      <c r="Q70" s="1">
        <v>1603726.44</v>
      </c>
      <c r="R70" s="2">
        <v>9240518.9900000002</v>
      </c>
    </row>
    <row r="71" spans="1:18" x14ac:dyDescent="0.25">
      <c r="A71" s="1">
        <v>45965</v>
      </c>
      <c r="B71" s="1">
        <v>3</v>
      </c>
      <c r="C71" s="5">
        <v>201</v>
      </c>
      <c r="D71" s="5">
        <v>269948</v>
      </c>
      <c r="E71" s="7" t="str">
        <f t="shared" si="2"/>
        <v>020100269948</v>
      </c>
      <c r="F71" s="7" t="str">
        <f t="shared" si="3"/>
        <v>30500529071020100269948</v>
      </c>
      <c r="G71" s="5">
        <v>35431670074949</v>
      </c>
      <c r="H71" s="1">
        <v>80</v>
      </c>
      <c r="I71" s="5">
        <v>30500529071</v>
      </c>
      <c r="J71" s="1" t="s">
        <v>179</v>
      </c>
      <c r="K71" s="5">
        <v>1</v>
      </c>
      <c r="L71" s="1" t="s">
        <v>168</v>
      </c>
      <c r="M71" s="1">
        <v>1217977</v>
      </c>
      <c r="P71" s="5">
        <v>36539.31</v>
      </c>
      <c r="Q71" s="1">
        <v>255775.17</v>
      </c>
      <c r="R71" s="2">
        <v>1510291.47</v>
      </c>
    </row>
    <row r="72" spans="1:18" x14ac:dyDescent="0.25">
      <c r="A72" s="1">
        <v>45965</v>
      </c>
      <c r="B72" s="1">
        <v>3</v>
      </c>
      <c r="C72" s="5">
        <v>201</v>
      </c>
      <c r="D72" s="5">
        <v>269949</v>
      </c>
      <c r="E72" s="7" t="str">
        <f t="shared" si="2"/>
        <v>020100269949</v>
      </c>
      <c r="F72" s="7" t="str">
        <f t="shared" si="3"/>
        <v>30500529071020100269949</v>
      </c>
      <c r="G72" s="5">
        <v>35431670074949</v>
      </c>
      <c r="H72" s="1">
        <v>80</v>
      </c>
      <c r="I72" s="5">
        <v>30500529071</v>
      </c>
      <c r="J72" s="1" t="s">
        <v>179</v>
      </c>
      <c r="K72" s="5">
        <v>1</v>
      </c>
      <c r="L72" s="1" t="s">
        <v>168</v>
      </c>
      <c r="M72" s="1">
        <v>9930.81</v>
      </c>
      <c r="P72" s="5">
        <v>297.92</v>
      </c>
      <c r="Q72" s="1">
        <v>2085.4699999999998</v>
      </c>
      <c r="R72" s="5">
        <v>12314.18</v>
      </c>
    </row>
    <row r="73" spans="1:18" x14ac:dyDescent="0.25">
      <c r="A73" s="1">
        <v>45965</v>
      </c>
      <c r="B73" s="1">
        <v>11</v>
      </c>
      <c r="C73" s="5">
        <v>1</v>
      </c>
      <c r="D73" s="5">
        <v>262</v>
      </c>
      <c r="E73" s="7" t="str">
        <f t="shared" si="2"/>
        <v>000100000262</v>
      </c>
      <c r="F73" s="7" t="str">
        <f t="shared" si="3"/>
        <v>20399678553000100000262</v>
      </c>
      <c r="G73" s="5">
        <v>75443556199590</v>
      </c>
      <c r="H73" s="1">
        <v>80</v>
      </c>
      <c r="I73" s="5">
        <v>20399678553</v>
      </c>
      <c r="J73" s="1" t="s">
        <v>315</v>
      </c>
      <c r="K73" s="5">
        <v>1</v>
      </c>
      <c r="L73" s="1" t="s">
        <v>168</v>
      </c>
      <c r="M73" s="2">
        <v>0</v>
      </c>
      <c r="N73" s="5">
        <v>0</v>
      </c>
      <c r="O73" s="5">
        <v>0</v>
      </c>
      <c r="P73" s="5">
        <v>0</v>
      </c>
      <c r="Q73" s="2">
        <v>0</v>
      </c>
      <c r="R73" s="2">
        <v>668000</v>
      </c>
    </row>
    <row r="74" spans="1:18" x14ac:dyDescent="0.25">
      <c r="A74" s="1">
        <v>45965</v>
      </c>
      <c r="B74" s="1">
        <v>11</v>
      </c>
      <c r="C74" s="5">
        <v>1</v>
      </c>
      <c r="D74" s="5">
        <v>253</v>
      </c>
      <c r="E74" s="7" t="str">
        <f t="shared" si="2"/>
        <v>000100000253</v>
      </c>
      <c r="F74" s="7" t="str">
        <f t="shared" si="3"/>
        <v>20377100965000100000253</v>
      </c>
      <c r="G74" s="5">
        <v>75445556449759</v>
      </c>
      <c r="H74" s="1">
        <v>80</v>
      </c>
      <c r="I74" s="5">
        <v>20377100965</v>
      </c>
      <c r="J74" s="1" t="s">
        <v>314</v>
      </c>
      <c r="K74" s="5">
        <v>1</v>
      </c>
      <c r="L74" s="1" t="s">
        <v>168</v>
      </c>
      <c r="M74" s="2">
        <v>0</v>
      </c>
      <c r="N74" s="5">
        <v>0</v>
      </c>
      <c r="O74" s="5">
        <v>0</v>
      </c>
      <c r="P74" s="5">
        <v>0</v>
      </c>
      <c r="Q74" s="2">
        <v>0</v>
      </c>
      <c r="R74" s="2">
        <v>668000</v>
      </c>
    </row>
    <row r="75" spans="1:18" x14ac:dyDescent="0.25">
      <c r="A75" s="1">
        <v>45965</v>
      </c>
      <c r="B75" s="1">
        <v>11</v>
      </c>
      <c r="C75" s="5">
        <v>3</v>
      </c>
      <c r="D75" s="5">
        <v>415</v>
      </c>
      <c r="E75" s="7" t="str">
        <f t="shared" si="2"/>
        <v>000300000415</v>
      </c>
      <c r="F75" s="7" t="str">
        <f t="shared" si="3"/>
        <v>23345365389000300000415</v>
      </c>
      <c r="G75" s="5">
        <v>75449556677875</v>
      </c>
      <c r="H75" s="1">
        <v>80</v>
      </c>
      <c r="I75" s="5">
        <v>23345365389</v>
      </c>
      <c r="J75" s="1" t="s">
        <v>313</v>
      </c>
      <c r="K75" s="5">
        <v>1</v>
      </c>
      <c r="L75" s="1" t="s">
        <v>168</v>
      </c>
      <c r="M75" s="2">
        <v>0</v>
      </c>
      <c r="N75" s="5">
        <v>0</v>
      </c>
      <c r="O75" s="5">
        <v>0</v>
      </c>
      <c r="P75" s="5">
        <v>0</v>
      </c>
      <c r="Q75" s="2">
        <v>0</v>
      </c>
      <c r="R75" s="5">
        <v>668000</v>
      </c>
    </row>
    <row r="76" spans="1:18" x14ac:dyDescent="0.25">
      <c r="A76" s="1">
        <v>45965</v>
      </c>
      <c r="B76" s="1">
        <v>15</v>
      </c>
      <c r="C76" s="5">
        <v>3</v>
      </c>
      <c r="D76" s="5">
        <v>721</v>
      </c>
      <c r="E76" s="7" t="str">
        <f t="shared" si="2"/>
        <v>000300000721</v>
      </c>
      <c r="F76" s="7" t="str">
        <f t="shared" si="3"/>
        <v>30710468695000300000721</v>
      </c>
      <c r="G76" s="5">
        <v>75445488258991</v>
      </c>
      <c r="H76" s="1">
        <v>80</v>
      </c>
      <c r="I76" s="5">
        <v>30710468695</v>
      </c>
      <c r="J76" s="1" t="s">
        <v>888</v>
      </c>
      <c r="K76" s="5">
        <v>1</v>
      </c>
      <c r="L76" s="1" t="s">
        <v>168</v>
      </c>
      <c r="M76" s="1">
        <v>0</v>
      </c>
      <c r="N76" s="5">
        <v>0</v>
      </c>
      <c r="O76" s="5">
        <v>0</v>
      </c>
      <c r="P76" s="5">
        <v>0</v>
      </c>
      <c r="Q76" s="2">
        <v>0</v>
      </c>
      <c r="R76" s="2">
        <v>3464.1</v>
      </c>
    </row>
    <row r="77" spans="1:18" x14ac:dyDescent="0.25">
      <c r="A77" s="1">
        <v>45965</v>
      </c>
      <c r="B77" s="1">
        <v>15</v>
      </c>
      <c r="C77" s="5">
        <v>3</v>
      </c>
      <c r="D77" s="5">
        <v>712</v>
      </c>
      <c r="E77" s="7" t="str">
        <f t="shared" si="2"/>
        <v>000300000712</v>
      </c>
      <c r="F77" s="7" t="str">
        <f t="shared" si="3"/>
        <v>30710468695000300000712</v>
      </c>
      <c r="G77" s="5">
        <v>75445484292273</v>
      </c>
      <c r="H77" s="1">
        <v>80</v>
      </c>
      <c r="I77" s="5">
        <v>30710468695</v>
      </c>
      <c r="J77" s="1" t="s">
        <v>888</v>
      </c>
      <c r="K77" s="5">
        <v>1</v>
      </c>
      <c r="L77" s="1" t="s">
        <v>168</v>
      </c>
      <c r="M77" s="2">
        <v>0</v>
      </c>
      <c r="N77" s="5">
        <v>0</v>
      </c>
      <c r="O77" s="5">
        <v>0</v>
      </c>
      <c r="P77" s="5">
        <v>0</v>
      </c>
      <c r="Q77" s="2">
        <v>0</v>
      </c>
      <c r="R77" s="5">
        <v>87643.6</v>
      </c>
    </row>
    <row r="78" spans="1:18" x14ac:dyDescent="0.25">
      <c r="A78" s="1">
        <v>45966</v>
      </c>
      <c r="B78" s="1">
        <v>1</v>
      </c>
      <c r="C78" s="5">
        <v>2</v>
      </c>
      <c r="D78" s="5">
        <v>9869</v>
      </c>
      <c r="E78" s="7" t="str">
        <f t="shared" si="2"/>
        <v>000200009869</v>
      </c>
      <c r="F78" s="7" t="str">
        <f t="shared" si="3"/>
        <v>30712091793000200009869</v>
      </c>
      <c r="G78" s="5">
        <v>75453631239177</v>
      </c>
      <c r="H78" s="1">
        <v>80</v>
      </c>
      <c r="I78" s="5">
        <v>30712091793</v>
      </c>
      <c r="J78" s="1" t="s">
        <v>522</v>
      </c>
      <c r="K78" s="5">
        <v>1</v>
      </c>
      <c r="L78" s="1" t="s">
        <v>168</v>
      </c>
      <c r="M78" s="2">
        <v>3570000</v>
      </c>
      <c r="N78" s="5">
        <v>0</v>
      </c>
      <c r="O78" s="5">
        <v>0</v>
      </c>
      <c r="P78" s="2">
        <v>0</v>
      </c>
      <c r="Q78" s="2">
        <v>749700</v>
      </c>
      <c r="R78" s="2">
        <v>4319700</v>
      </c>
    </row>
    <row r="79" spans="1:18" x14ac:dyDescent="0.25">
      <c r="A79" s="1">
        <v>45966</v>
      </c>
      <c r="B79" s="1">
        <v>1</v>
      </c>
      <c r="C79" s="5">
        <v>8</v>
      </c>
      <c r="D79" s="5">
        <v>87934</v>
      </c>
      <c r="E79" s="7" t="str">
        <f t="shared" si="2"/>
        <v>000800087934</v>
      </c>
      <c r="F79" s="7" t="str">
        <f t="shared" si="3"/>
        <v>30536184054000800087934</v>
      </c>
      <c r="G79" s="5">
        <v>75454658511828</v>
      </c>
      <c r="H79" s="1">
        <v>80</v>
      </c>
      <c r="I79" s="5">
        <v>30536184054</v>
      </c>
      <c r="J79" s="1" t="s">
        <v>186</v>
      </c>
      <c r="K79" s="5">
        <v>1</v>
      </c>
      <c r="L79" s="1" t="s">
        <v>168</v>
      </c>
      <c r="M79" s="2">
        <v>253061.26</v>
      </c>
      <c r="N79" s="5">
        <v>0</v>
      </c>
      <c r="O79" s="5">
        <v>0</v>
      </c>
      <c r="P79" s="5">
        <v>6326.53</v>
      </c>
      <c r="Q79" s="2">
        <v>53142.87</v>
      </c>
      <c r="R79" s="5">
        <v>312530.65999999997</v>
      </c>
    </row>
    <row r="80" spans="1:18" x14ac:dyDescent="0.25">
      <c r="A80" s="1">
        <v>45966</v>
      </c>
      <c r="B80" s="1">
        <v>1</v>
      </c>
      <c r="C80" s="5">
        <v>4</v>
      </c>
      <c r="D80" s="5">
        <v>17885</v>
      </c>
      <c r="E80" s="7" t="str">
        <f t="shared" si="2"/>
        <v>000400017885</v>
      </c>
      <c r="F80" s="7" t="str">
        <f t="shared" si="3"/>
        <v>20062436965000400017885</v>
      </c>
      <c r="G80" s="5">
        <v>75455655786213</v>
      </c>
      <c r="H80" s="1">
        <v>80</v>
      </c>
      <c r="I80" s="5">
        <v>20062436965</v>
      </c>
      <c r="J80" s="1" t="s">
        <v>188</v>
      </c>
      <c r="K80" s="5">
        <v>1</v>
      </c>
      <c r="L80" s="1" t="s">
        <v>168</v>
      </c>
      <c r="M80" s="2">
        <v>1994509.26</v>
      </c>
      <c r="N80" s="5">
        <v>0</v>
      </c>
      <c r="O80" s="5">
        <v>37744.76</v>
      </c>
      <c r="P80" s="5">
        <v>0</v>
      </c>
      <c r="Q80" s="2">
        <v>418846.94</v>
      </c>
      <c r="R80" s="5">
        <v>2451100.96</v>
      </c>
    </row>
    <row r="81" spans="1:18" x14ac:dyDescent="0.25">
      <c r="A81" s="1">
        <v>45966</v>
      </c>
      <c r="B81" s="1">
        <v>1</v>
      </c>
      <c r="C81" s="5">
        <v>2</v>
      </c>
      <c r="D81" s="5">
        <v>10331</v>
      </c>
      <c r="E81" s="7" t="str">
        <f t="shared" si="2"/>
        <v>000200010331</v>
      </c>
      <c r="F81" s="7" t="str">
        <f t="shared" si="3"/>
        <v>30642674567000200010331</v>
      </c>
      <c r="G81" s="5">
        <v>75457807793544</v>
      </c>
      <c r="H81" s="1">
        <v>80</v>
      </c>
      <c r="I81" s="5">
        <v>30642674567</v>
      </c>
      <c r="J81" s="1" t="s">
        <v>184</v>
      </c>
      <c r="K81" s="5">
        <v>1</v>
      </c>
      <c r="L81" s="1" t="s">
        <v>168</v>
      </c>
      <c r="M81" s="2">
        <v>714359.56</v>
      </c>
      <c r="N81" s="5">
        <v>0</v>
      </c>
      <c r="O81" s="5">
        <v>0</v>
      </c>
      <c r="P81" s="2">
        <v>0</v>
      </c>
      <c r="Q81" s="2">
        <v>150015.51</v>
      </c>
      <c r="R81" s="2">
        <v>864375.07</v>
      </c>
    </row>
    <row r="82" spans="1:18" x14ac:dyDescent="0.25">
      <c r="A82" s="1">
        <v>45966</v>
      </c>
      <c r="B82" s="1">
        <v>1</v>
      </c>
      <c r="C82" s="5">
        <v>2</v>
      </c>
      <c r="D82" s="5">
        <v>10328</v>
      </c>
      <c r="E82" s="7" t="str">
        <f t="shared" si="2"/>
        <v>000200010328</v>
      </c>
      <c r="F82" s="7" t="str">
        <f t="shared" si="3"/>
        <v>30642674567000200010328</v>
      </c>
      <c r="G82" s="5">
        <v>75457795888458</v>
      </c>
      <c r="H82" s="1">
        <v>80</v>
      </c>
      <c r="I82" s="5">
        <v>30642674567</v>
      </c>
      <c r="J82" s="1" t="s">
        <v>184</v>
      </c>
      <c r="K82" s="5">
        <v>1</v>
      </c>
      <c r="L82" s="1" t="s">
        <v>168</v>
      </c>
      <c r="M82" s="2">
        <v>13968.23</v>
      </c>
      <c r="N82" s="5">
        <v>0</v>
      </c>
      <c r="O82" s="2">
        <v>0</v>
      </c>
      <c r="P82" s="5">
        <v>0</v>
      </c>
      <c r="Q82" s="2">
        <v>2933.33</v>
      </c>
      <c r="R82" s="2">
        <v>16901.560000000001</v>
      </c>
    </row>
    <row r="83" spans="1:18" x14ac:dyDescent="0.25">
      <c r="A83" s="1">
        <v>45966</v>
      </c>
      <c r="B83" s="1">
        <v>1</v>
      </c>
      <c r="C83" s="5">
        <v>2</v>
      </c>
      <c r="D83" s="5">
        <v>10330</v>
      </c>
      <c r="E83" s="7" t="str">
        <f t="shared" si="2"/>
        <v>000200010330</v>
      </c>
      <c r="F83" s="7" t="str">
        <f t="shared" si="3"/>
        <v>30642674567000200010330</v>
      </c>
      <c r="G83" s="5">
        <v>75457799260558</v>
      </c>
      <c r="H83" s="1">
        <v>80</v>
      </c>
      <c r="I83" s="5">
        <v>30642674567</v>
      </c>
      <c r="J83" s="1" t="s">
        <v>184</v>
      </c>
      <c r="K83" s="5">
        <v>1</v>
      </c>
      <c r="L83" s="1" t="s">
        <v>168</v>
      </c>
      <c r="M83" s="5">
        <v>60216.25</v>
      </c>
      <c r="N83" s="5">
        <v>0</v>
      </c>
      <c r="O83" s="5">
        <v>0</v>
      </c>
      <c r="P83" s="5">
        <v>0</v>
      </c>
      <c r="Q83" s="2">
        <v>12645.41</v>
      </c>
      <c r="R83" s="2">
        <v>72861.66</v>
      </c>
    </row>
    <row r="84" spans="1:18" x14ac:dyDescent="0.25">
      <c r="A84" s="1">
        <v>45966</v>
      </c>
      <c r="B84" s="1">
        <v>1</v>
      </c>
      <c r="C84" s="5">
        <v>2</v>
      </c>
      <c r="D84" s="5">
        <v>10326</v>
      </c>
      <c r="E84" s="7" t="str">
        <f t="shared" si="2"/>
        <v>000200010326</v>
      </c>
      <c r="F84" s="7" t="str">
        <f t="shared" si="3"/>
        <v>30642674567000200010326</v>
      </c>
      <c r="G84" s="5">
        <v>75457772492996</v>
      </c>
      <c r="H84" s="1">
        <v>80</v>
      </c>
      <c r="I84" s="5">
        <v>30642674567</v>
      </c>
      <c r="J84" s="1" t="s">
        <v>184</v>
      </c>
      <c r="K84" s="5">
        <v>1</v>
      </c>
      <c r="L84" s="1" t="s">
        <v>168</v>
      </c>
      <c r="M84" s="2">
        <v>132068.35999999999</v>
      </c>
      <c r="N84" s="5">
        <v>0</v>
      </c>
      <c r="O84" s="5">
        <v>0</v>
      </c>
      <c r="P84" s="5">
        <v>0</v>
      </c>
      <c r="Q84" s="2">
        <v>27734.36</v>
      </c>
      <c r="R84" s="5">
        <v>159802.72</v>
      </c>
    </row>
    <row r="85" spans="1:18" x14ac:dyDescent="0.25">
      <c r="A85" s="1">
        <v>45966</v>
      </c>
      <c r="B85" s="1">
        <v>1</v>
      </c>
      <c r="C85" s="5">
        <v>2</v>
      </c>
      <c r="D85" s="5">
        <v>10327</v>
      </c>
      <c r="E85" s="7" t="str">
        <f t="shared" si="2"/>
        <v>000200010327</v>
      </c>
      <c r="F85" s="7" t="str">
        <f t="shared" si="3"/>
        <v>30642674567000200010327</v>
      </c>
      <c r="G85" s="5">
        <v>75457795176886</v>
      </c>
      <c r="H85" s="1">
        <v>80</v>
      </c>
      <c r="I85" s="5">
        <v>30642674567</v>
      </c>
      <c r="J85" s="1" t="s">
        <v>184</v>
      </c>
      <c r="K85" s="5">
        <v>1</v>
      </c>
      <c r="L85" s="1" t="s">
        <v>168</v>
      </c>
      <c r="M85" s="2">
        <v>275902.59999999998</v>
      </c>
      <c r="N85" s="5">
        <v>0</v>
      </c>
      <c r="O85" s="5">
        <v>0</v>
      </c>
      <c r="P85" s="5">
        <v>0</v>
      </c>
      <c r="Q85" s="2">
        <v>57939.55</v>
      </c>
      <c r="R85" s="2">
        <v>333842.15000000002</v>
      </c>
    </row>
    <row r="86" spans="1:18" x14ac:dyDescent="0.25">
      <c r="A86" s="1">
        <v>45966</v>
      </c>
      <c r="B86" s="1">
        <v>1</v>
      </c>
      <c r="C86" s="5">
        <v>7</v>
      </c>
      <c r="D86" s="5">
        <v>104975</v>
      </c>
      <c r="E86" s="7" t="str">
        <f t="shared" si="2"/>
        <v>000700104975</v>
      </c>
      <c r="F86" s="7" t="str">
        <f t="shared" si="3"/>
        <v>30714783129000700104975</v>
      </c>
      <c r="G86" s="5">
        <v>75459896017888</v>
      </c>
      <c r="H86" s="1">
        <v>80</v>
      </c>
      <c r="I86" s="5">
        <v>30714783129</v>
      </c>
      <c r="J86" s="1" t="s">
        <v>889</v>
      </c>
      <c r="K86" s="5">
        <v>1</v>
      </c>
      <c r="L86" s="1" t="s">
        <v>168</v>
      </c>
      <c r="M86" s="5">
        <v>6090.91</v>
      </c>
      <c r="N86" s="5">
        <v>0</v>
      </c>
      <c r="O86" s="5">
        <v>0</v>
      </c>
      <c r="P86" s="5">
        <v>0</v>
      </c>
      <c r="Q86" s="5">
        <v>1279.0899999999999</v>
      </c>
      <c r="R86" s="5">
        <v>7370</v>
      </c>
    </row>
    <row r="87" spans="1:18" x14ac:dyDescent="0.25">
      <c r="A87" s="1">
        <v>45966</v>
      </c>
      <c r="B87" s="1">
        <v>1</v>
      </c>
      <c r="C87" s="5">
        <v>3</v>
      </c>
      <c r="D87" s="5">
        <v>1640</v>
      </c>
      <c r="E87" s="7" t="str">
        <f t="shared" si="2"/>
        <v>000300001640</v>
      </c>
      <c r="F87" s="7" t="str">
        <f t="shared" si="3"/>
        <v>20335001312000300001640</v>
      </c>
      <c r="G87" s="5">
        <v>75452634300074</v>
      </c>
      <c r="H87" s="1">
        <v>80</v>
      </c>
      <c r="I87" s="5">
        <v>20335001312</v>
      </c>
      <c r="J87" s="1" t="s">
        <v>275</v>
      </c>
      <c r="K87" s="5">
        <v>1</v>
      </c>
      <c r="L87" s="1" t="s">
        <v>168</v>
      </c>
      <c r="M87" s="5">
        <v>1181818.19</v>
      </c>
      <c r="N87" s="5">
        <v>0</v>
      </c>
      <c r="O87" s="5">
        <v>0</v>
      </c>
      <c r="P87" s="5">
        <v>0</v>
      </c>
      <c r="Q87" s="2">
        <v>248181.82</v>
      </c>
      <c r="R87" s="5">
        <v>1430000</v>
      </c>
    </row>
    <row r="88" spans="1:18" x14ac:dyDescent="0.25">
      <c r="A88" s="1">
        <v>45966</v>
      </c>
      <c r="B88" s="1">
        <v>1</v>
      </c>
      <c r="C88" s="5">
        <v>1</v>
      </c>
      <c r="D88" s="5">
        <v>792</v>
      </c>
      <c r="E88" s="7" t="str">
        <f t="shared" si="2"/>
        <v>000100000792</v>
      </c>
      <c r="F88" s="7" t="str">
        <f t="shared" si="3"/>
        <v>30715231715000100000792</v>
      </c>
      <c r="G88" s="5">
        <v>75455599416732</v>
      </c>
      <c r="H88" s="1">
        <v>80</v>
      </c>
      <c r="I88" s="5">
        <v>30715231715</v>
      </c>
      <c r="J88" s="1" t="s">
        <v>178</v>
      </c>
      <c r="K88" s="5">
        <v>1</v>
      </c>
      <c r="L88" s="1" t="s">
        <v>168</v>
      </c>
      <c r="M88" s="2">
        <v>1882175.95</v>
      </c>
      <c r="N88" s="5">
        <v>0</v>
      </c>
      <c r="O88" s="5">
        <v>0</v>
      </c>
      <c r="P88" s="5">
        <v>0</v>
      </c>
      <c r="Q88" s="2">
        <v>395256.95</v>
      </c>
      <c r="R88" s="2">
        <v>2277432.89</v>
      </c>
    </row>
    <row r="89" spans="1:18" x14ac:dyDescent="0.25">
      <c r="A89" s="1">
        <v>45966</v>
      </c>
      <c r="B89" s="1">
        <v>1</v>
      </c>
      <c r="C89" s="5">
        <v>1</v>
      </c>
      <c r="D89" s="5">
        <v>793</v>
      </c>
      <c r="E89" s="7" t="str">
        <f t="shared" si="2"/>
        <v>000100000793</v>
      </c>
      <c r="F89" s="7" t="str">
        <f t="shared" si="3"/>
        <v>30715231715000100000793</v>
      </c>
      <c r="G89" s="5">
        <v>75455599628896</v>
      </c>
      <c r="H89" s="1">
        <v>80</v>
      </c>
      <c r="I89" s="5">
        <v>30715231715</v>
      </c>
      <c r="J89" s="1" t="s">
        <v>178</v>
      </c>
      <c r="K89" s="5">
        <v>1</v>
      </c>
      <c r="L89" s="1" t="s">
        <v>168</v>
      </c>
      <c r="M89" s="2">
        <v>1882175.95</v>
      </c>
      <c r="N89" s="5">
        <v>0</v>
      </c>
      <c r="O89" s="5">
        <v>0</v>
      </c>
      <c r="P89" s="2">
        <v>0</v>
      </c>
      <c r="Q89" s="2">
        <v>395256.95</v>
      </c>
      <c r="R89" s="2">
        <v>2277432.89</v>
      </c>
    </row>
    <row r="90" spans="1:18" x14ac:dyDescent="0.25">
      <c r="A90" s="1">
        <v>45966</v>
      </c>
      <c r="B90" s="1">
        <v>1</v>
      </c>
      <c r="C90" s="5">
        <v>1</v>
      </c>
      <c r="D90" s="5">
        <v>794</v>
      </c>
      <c r="E90" s="7" t="str">
        <f t="shared" si="2"/>
        <v>000100000794</v>
      </c>
      <c r="F90" s="7" t="str">
        <f t="shared" si="3"/>
        <v>30715231715000100000794</v>
      </c>
      <c r="G90" s="5">
        <v>75455599844698</v>
      </c>
      <c r="H90" s="1">
        <v>80</v>
      </c>
      <c r="I90" s="5">
        <v>30715231715</v>
      </c>
      <c r="J90" s="1" t="s">
        <v>178</v>
      </c>
      <c r="K90" s="5">
        <v>1</v>
      </c>
      <c r="L90" s="1" t="s">
        <v>168</v>
      </c>
      <c r="M90" s="2">
        <v>866533.48</v>
      </c>
      <c r="N90" s="5">
        <v>0</v>
      </c>
      <c r="O90" s="5">
        <v>0</v>
      </c>
      <c r="P90" s="5">
        <v>0</v>
      </c>
      <c r="Q90" s="2">
        <v>181972.03</v>
      </c>
      <c r="R90" s="2">
        <v>1048505.49</v>
      </c>
    </row>
    <row r="91" spans="1:18" x14ac:dyDescent="0.25">
      <c r="A91" s="1">
        <v>45966</v>
      </c>
      <c r="B91" s="1">
        <v>1</v>
      </c>
      <c r="C91" s="5">
        <v>1</v>
      </c>
      <c r="D91" s="5">
        <v>795</v>
      </c>
      <c r="E91" s="7" t="str">
        <f t="shared" si="2"/>
        <v>000100000795</v>
      </c>
      <c r="F91" s="7" t="str">
        <f t="shared" si="3"/>
        <v>30715231715000100000795</v>
      </c>
      <c r="G91" s="5">
        <v>75455600000777</v>
      </c>
      <c r="H91" s="1">
        <v>80</v>
      </c>
      <c r="I91" s="5">
        <v>30715231715</v>
      </c>
      <c r="J91" s="1" t="s">
        <v>178</v>
      </c>
      <c r="K91" s="5">
        <v>1</v>
      </c>
      <c r="L91" s="1" t="s">
        <v>168</v>
      </c>
      <c r="M91" s="2">
        <v>950000</v>
      </c>
      <c r="N91" s="5">
        <v>0</v>
      </c>
      <c r="O91" s="5">
        <v>0</v>
      </c>
      <c r="P91" s="5">
        <v>0</v>
      </c>
      <c r="Q91" s="2">
        <v>199500</v>
      </c>
      <c r="R91" s="2">
        <v>1149500</v>
      </c>
    </row>
    <row r="92" spans="1:18" x14ac:dyDescent="0.25">
      <c r="A92" s="1">
        <v>45966</v>
      </c>
      <c r="B92" s="1">
        <v>1</v>
      </c>
      <c r="C92" s="5">
        <v>2</v>
      </c>
      <c r="D92" s="5">
        <v>91</v>
      </c>
      <c r="E92" s="7" t="str">
        <f t="shared" si="2"/>
        <v>000200000091</v>
      </c>
      <c r="F92" s="7" t="str">
        <f t="shared" si="3"/>
        <v>23218162029000200000091</v>
      </c>
      <c r="G92" s="5">
        <v>75459593990079</v>
      </c>
      <c r="H92" s="1">
        <v>80</v>
      </c>
      <c r="I92" s="5">
        <v>23218162029</v>
      </c>
      <c r="J92" s="1" t="s">
        <v>177</v>
      </c>
      <c r="K92" s="5">
        <v>1</v>
      </c>
      <c r="L92" s="1" t="s">
        <v>168</v>
      </c>
      <c r="M92" s="2">
        <v>1021153.81</v>
      </c>
      <c r="N92" s="5">
        <v>0</v>
      </c>
      <c r="O92" s="5">
        <v>0</v>
      </c>
      <c r="P92" s="2">
        <v>0</v>
      </c>
      <c r="Q92" s="2">
        <v>214442.3</v>
      </c>
      <c r="R92" s="2">
        <v>1235596.1399999999</v>
      </c>
    </row>
    <row r="93" spans="1:18" x14ac:dyDescent="0.25">
      <c r="A93" s="1">
        <v>45966</v>
      </c>
      <c r="B93" s="1">
        <v>1</v>
      </c>
      <c r="C93" s="5">
        <v>1</v>
      </c>
      <c r="D93" s="5">
        <v>796</v>
      </c>
      <c r="E93" s="7" t="str">
        <f t="shared" si="2"/>
        <v>000100000796</v>
      </c>
      <c r="F93" s="7" t="str">
        <f t="shared" si="3"/>
        <v>30715231715000100000796</v>
      </c>
      <c r="G93" s="5">
        <v>75455600181499</v>
      </c>
      <c r="H93" s="1">
        <v>80</v>
      </c>
      <c r="I93" s="5">
        <v>30715231715</v>
      </c>
      <c r="J93" s="1" t="s">
        <v>178</v>
      </c>
      <c r="K93" s="5">
        <v>1</v>
      </c>
      <c r="L93" s="1" t="s">
        <v>168</v>
      </c>
      <c r="M93" s="5">
        <v>762000</v>
      </c>
      <c r="N93" s="5">
        <v>0</v>
      </c>
      <c r="O93" s="5">
        <v>0</v>
      </c>
      <c r="P93" s="5">
        <v>0</v>
      </c>
      <c r="Q93" s="5">
        <v>160020</v>
      </c>
      <c r="R93" s="5">
        <v>922020</v>
      </c>
    </row>
    <row r="94" spans="1:18" x14ac:dyDescent="0.25">
      <c r="A94" s="1">
        <v>45966</v>
      </c>
      <c r="B94" s="1">
        <v>1</v>
      </c>
      <c r="C94" s="5">
        <v>32</v>
      </c>
      <c r="D94" s="5">
        <v>254165</v>
      </c>
      <c r="E94" s="7" t="str">
        <f t="shared" si="2"/>
        <v>003200254165</v>
      </c>
      <c r="F94" s="7" t="str">
        <f t="shared" si="3"/>
        <v>30621181838003200254165</v>
      </c>
      <c r="G94" s="5">
        <v>75458719693970</v>
      </c>
      <c r="H94" s="1">
        <v>80</v>
      </c>
      <c r="I94" s="5">
        <v>30621181838</v>
      </c>
      <c r="J94" s="1" t="s">
        <v>180</v>
      </c>
      <c r="K94" s="5">
        <v>1</v>
      </c>
      <c r="L94" s="1" t="s">
        <v>168</v>
      </c>
      <c r="M94" s="5">
        <v>352044.33</v>
      </c>
      <c r="N94" s="5"/>
      <c r="O94" s="5"/>
      <c r="P94" s="5">
        <v>0</v>
      </c>
      <c r="Q94" s="5">
        <v>73929.31</v>
      </c>
      <c r="R94" s="5">
        <v>425973.63</v>
      </c>
    </row>
    <row r="95" spans="1:18" x14ac:dyDescent="0.25">
      <c r="A95" s="1">
        <v>45966</v>
      </c>
      <c r="B95" s="1">
        <v>1</v>
      </c>
      <c r="C95" s="5">
        <v>32</v>
      </c>
      <c r="D95" s="5">
        <v>254166</v>
      </c>
      <c r="E95" s="7" t="str">
        <f t="shared" si="2"/>
        <v>003200254166</v>
      </c>
      <c r="F95" s="7" t="str">
        <f t="shared" si="3"/>
        <v>30621181838003200254166</v>
      </c>
      <c r="G95" s="5">
        <v>75458719727302</v>
      </c>
      <c r="H95" s="1">
        <v>80</v>
      </c>
      <c r="I95" s="5">
        <v>30621181838</v>
      </c>
      <c r="J95" s="1" t="s">
        <v>180</v>
      </c>
      <c r="K95" s="5">
        <v>1</v>
      </c>
      <c r="L95" s="1" t="s">
        <v>168</v>
      </c>
      <c r="M95" s="1">
        <v>402265.9</v>
      </c>
      <c r="P95" s="5">
        <v>0</v>
      </c>
      <c r="Q95" s="1">
        <v>84475.839999999997</v>
      </c>
      <c r="R95" s="5">
        <v>486741.73</v>
      </c>
    </row>
    <row r="96" spans="1:18" x14ac:dyDescent="0.25">
      <c r="A96" s="1">
        <v>45966</v>
      </c>
      <c r="B96" s="1">
        <v>2</v>
      </c>
      <c r="C96" s="5">
        <v>11</v>
      </c>
      <c r="D96" s="5">
        <v>2</v>
      </c>
      <c r="E96" s="7" t="str">
        <f t="shared" si="2"/>
        <v>001100000002</v>
      </c>
      <c r="F96" s="7" t="str">
        <f t="shared" si="3"/>
        <v>30526148246001100000002</v>
      </c>
      <c r="G96" s="5">
        <v>75456677619349</v>
      </c>
      <c r="H96" s="1">
        <v>80</v>
      </c>
      <c r="I96" s="5">
        <v>30526148246</v>
      </c>
      <c r="J96" s="1" t="s">
        <v>324</v>
      </c>
      <c r="K96" s="5">
        <v>1</v>
      </c>
      <c r="L96" s="1" t="s">
        <v>168</v>
      </c>
      <c r="M96" s="1">
        <v>227150.4</v>
      </c>
      <c r="N96" s="1">
        <v>0</v>
      </c>
      <c r="O96" s="1">
        <v>0</v>
      </c>
      <c r="P96" s="5">
        <v>0</v>
      </c>
      <c r="Q96" s="1">
        <v>47701.58</v>
      </c>
      <c r="R96" s="5">
        <v>274851.98</v>
      </c>
    </row>
    <row r="97" spans="1:18" x14ac:dyDescent="0.25">
      <c r="A97" s="1">
        <v>45966</v>
      </c>
      <c r="B97" s="1">
        <v>11</v>
      </c>
      <c r="C97" s="5">
        <v>8</v>
      </c>
      <c r="D97" s="5">
        <v>1379</v>
      </c>
      <c r="E97" s="7" t="str">
        <f t="shared" si="2"/>
        <v>000800001379</v>
      </c>
      <c r="F97" s="7" t="str">
        <f t="shared" si="3"/>
        <v>30699881100000800001379</v>
      </c>
      <c r="G97" s="5">
        <v>75450673159739</v>
      </c>
      <c r="H97" s="1">
        <v>80</v>
      </c>
      <c r="I97" s="5">
        <v>30699881100</v>
      </c>
      <c r="J97" s="1" t="s">
        <v>541</v>
      </c>
      <c r="K97" s="5">
        <v>1</v>
      </c>
      <c r="L97" s="1" t="s">
        <v>168</v>
      </c>
      <c r="M97" s="1">
        <v>0</v>
      </c>
      <c r="N97" s="1">
        <v>0</v>
      </c>
      <c r="O97" s="1">
        <v>0</v>
      </c>
      <c r="P97" s="5">
        <v>0</v>
      </c>
      <c r="Q97" s="1">
        <v>0</v>
      </c>
      <c r="R97" s="5">
        <v>348124.8</v>
      </c>
    </row>
    <row r="98" spans="1:18" x14ac:dyDescent="0.25">
      <c r="A98" s="1">
        <v>45966</v>
      </c>
      <c r="B98" s="1">
        <v>11</v>
      </c>
      <c r="C98" s="5">
        <v>4</v>
      </c>
      <c r="D98" s="5">
        <v>10152</v>
      </c>
      <c r="E98" s="7" t="str">
        <f t="shared" si="2"/>
        <v>000400010152</v>
      </c>
      <c r="F98" s="7" t="str">
        <f t="shared" si="3"/>
        <v>30710244274000400010152</v>
      </c>
      <c r="G98" s="5">
        <v>75454721307272</v>
      </c>
      <c r="H98" s="1">
        <v>80</v>
      </c>
      <c r="I98" s="5">
        <v>30710244274</v>
      </c>
      <c r="J98" s="1" t="s">
        <v>218</v>
      </c>
      <c r="K98" s="5">
        <v>1</v>
      </c>
      <c r="L98" s="1" t="s">
        <v>168</v>
      </c>
      <c r="M98" s="1">
        <v>0</v>
      </c>
      <c r="N98" s="1">
        <v>0</v>
      </c>
      <c r="O98" s="1">
        <v>0</v>
      </c>
      <c r="P98" s="5">
        <v>0</v>
      </c>
      <c r="Q98" s="1">
        <v>0</v>
      </c>
      <c r="R98" s="2">
        <v>187000</v>
      </c>
    </row>
    <row r="99" spans="1:18" x14ac:dyDescent="0.25">
      <c r="A99" s="1">
        <v>45966</v>
      </c>
      <c r="B99" s="1">
        <v>11</v>
      </c>
      <c r="C99" s="5">
        <v>3</v>
      </c>
      <c r="D99" s="5">
        <v>252</v>
      </c>
      <c r="E99" s="7" t="str">
        <f t="shared" si="2"/>
        <v>000300000252</v>
      </c>
      <c r="F99" s="7" t="str">
        <f t="shared" si="3"/>
        <v>20220874568000300000252</v>
      </c>
      <c r="G99" s="5">
        <v>75458631445329</v>
      </c>
      <c r="H99" s="1">
        <v>80</v>
      </c>
      <c r="I99" s="5">
        <v>20220874568</v>
      </c>
      <c r="J99" s="1" t="s">
        <v>222</v>
      </c>
      <c r="K99" s="5">
        <v>1</v>
      </c>
      <c r="L99" s="1" t="s">
        <v>168</v>
      </c>
      <c r="M99" s="1">
        <v>0</v>
      </c>
      <c r="N99" s="1">
        <v>0</v>
      </c>
      <c r="O99" s="1">
        <v>0</v>
      </c>
      <c r="P99" s="5">
        <v>0</v>
      </c>
      <c r="Q99" s="1">
        <v>0</v>
      </c>
      <c r="R99" s="5">
        <v>440000</v>
      </c>
    </row>
    <row r="100" spans="1:18" x14ac:dyDescent="0.25">
      <c r="A100" s="1">
        <v>45966</v>
      </c>
      <c r="B100" s="1">
        <v>11</v>
      </c>
      <c r="C100" s="5">
        <v>2</v>
      </c>
      <c r="D100" s="5">
        <v>38</v>
      </c>
      <c r="E100" s="7" t="str">
        <f t="shared" si="2"/>
        <v>000200000038</v>
      </c>
      <c r="F100" s="7" t="str">
        <f t="shared" si="3"/>
        <v>20266044535000200000038</v>
      </c>
      <c r="G100" s="5">
        <v>75455610612478</v>
      </c>
      <c r="H100" s="1">
        <v>80</v>
      </c>
      <c r="I100" s="5">
        <v>20266044535</v>
      </c>
      <c r="J100" s="1" t="s">
        <v>534</v>
      </c>
      <c r="K100" s="5">
        <v>1</v>
      </c>
      <c r="L100" s="1" t="s">
        <v>168</v>
      </c>
      <c r="M100" s="2">
        <v>0</v>
      </c>
      <c r="N100" s="5">
        <v>0</v>
      </c>
      <c r="O100" s="5">
        <v>0</v>
      </c>
      <c r="P100" s="5">
        <v>0</v>
      </c>
      <c r="Q100" s="2">
        <v>0</v>
      </c>
      <c r="R100" s="5">
        <v>460000</v>
      </c>
    </row>
    <row r="101" spans="1:18" x14ac:dyDescent="0.25">
      <c r="A101" s="1">
        <v>45966</v>
      </c>
      <c r="B101" s="1">
        <v>11</v>
      </c>
      <c r="C101" s="5">
        <v>3</v>
      </c>
      <c r="D101" s="5">
        <v>495</v>
      </c>
      <c r="E101" s="7" t="str">
        <f t="shared" si="2"/>
        <v>000300000495</v>
      </c>
      <c r="F101" s="7" t="str">
        <f t="shared" si="3"/>
        <v>20302918768000300000495</v>
      </c>
      <c r="G101" s="5">
        <v>75458601519009</v>
      </c>
      <c r="H101" s="1">
        <v>80</v>
      </c>
      <c r="I101" s="5">
        <v>20302918768</v>
      </c>
      <c r="J101" s="1" t="s">
        <v>537</v>
      </c>
      <c r="K101" s="5">
        <v>1</v>
      </c>
      <c r="L101" s="1" t="s">
        <v>168</v>
      </c>
      <c r="M101" s="2">
        <v>0</v>
      </c>
      <c r="N101" s="5">
        <v>0</v>
      </c>
      <c r="O101" s="5">
        <v>0</v>
      </c>
      <c r="P101" s="5">
        <v>0</v>
      </c>
      <c r="Q101" s="1">
        <v>0</v>
      </c>
      <c r="R101" s="2">
        <v>140000</v>
      </c>
    </row>
    <row r="102" spans="1:18" x14ac:dyDescent="0.25">
      <c r="A102" s="1">
        <v>45967</v>
      </c>
      <c r="B102" s="1">
        <v>1</v>
      </c>
      <c r="C102" s="5">
        <v>2</v>
      </c>
      <c r="D102" s="5">
        <v>39108</v>
      </c>
      <c r="E102" s="7" t="str">
        <f t="shared" si="2"/>
        <v>000200039108</v>
      </c>
      <c r="F102" s="7" t="str">
        <f t="shared" si="3"/>
        <v>20076351679000200039108</v>
      </c>
      <c r="G102" s="5">
        <v>75459758529632</v>
      </c>
      <c r="H102" s="1">
        <v>80</v>
      </c>
      <c r="I102" s="5">
        <v>20076351679</v>
      </c>
      <c r="J102" s="1" t="s">
        <v>548</v>
      </c>
      <c r="K102" s="5">
        <v>1</v>
      </c>
      <c r="L102" s="1" t="s">
        <v>168</v>
      </c>
      <c r="M102" s="2">
        <v>99000</v>
      </c>
      <c r="N102" s="5">
        <v>0</v>
      </c>
      <c r="O102" s="5">
        <v>0</v>
      </c>
      <c r="P102" s="2">
        <v>0</v>
      </c>
      <c r="Q102" s="1">
        <v>20790</v>
      </c>
      <c r="R102" s="2">
        <v>119790</v>
      </c>
    </row>
    <row r="103" spans="1:18" x14ac:dyDescent="0.25">
      <c r="A103" s="1">
        <v>45967</v>
      </c>
      <c r="B103" s="1">
        <v>1</v>
      </c>
      <c r="C103" s="5">
        <v>2</v>
      </c>
      <c r="D103" s="5">
        <v>26237</v>
      </c>
      <c r="E103" s="7" t="str">
        <f t="shared" si="2"/>
        <v>000200026237</v>
      </c>
      <c r="F103" s="7" t="str">
        <f t="shared" si="3"/>
        <v>27064866163000200026237</v>
      </c>
      <c r="G103" s="5">
        <v>75453789688184</v>
      </c>
      <c r="H103" s="1">
        <v>80</v>
      </c>
      <c r="I103" s="5">
        <v>27064866163</v>
      </c>
      <c r="J103" s="1" t="s">
        <v>204</v>
      </c>
      <c r="K103" s="5">
        <v>1</v>
      </c>
      <c r="L103" s="1" t="s">
        <v>168</v>
      </c>
      <c r="M103" s="2">
        <v>1070000</v>
      </c>
      <c r="N103" s="5">
        <v>54866</v>
      </c>
      <c r="O103" s="5">
        <v>0</v>
      </c>
      <c r="P103" s="5">
        <v>0</v>
      </c>
      <c r="Q103" s="2">
        <v>224700</v>
      </c>
      <c r="R103" s="5">
        <v>1349566</v>
      </c>
    </row>
    <row r="104" spans="1:18" x14ac:dyDescent="0.25">
      <c r="A104" s="1">
        <v>45967</v>
      </c>
      <c r="B104" s="1">
        <v>1</v>
      </c>
      <c r="C104" s="5">
        <v>3</v>
      </c>
      <c r="D104" s="5">
        <v>48617</v>
      </c>
      <c r="E104" s="7" t="str">
        <f t="shared" si="2"/>
        <v>000300048617</v>
      </c>
      <c r="F104" s="7" t="str">
        <f t="shared" si="3"/>
        <v>30708216298000300048617</v>
      </c>
      <c r="G104" s="5">
        <v>75458824346413</v>
      </c>
      <c r="H104" s="1">
        <v>80</v>
      </c>
      <c r="I104" s="5">
        <v>30708216298</v>
      </c>
      <c r="J104" s="1" t="s">
        <v>890</v>
      </c>
      <c r="K104" s="5">
        <v>1</v>
      </c>
      <c r="L104" s="1" t="s">
        <v>168</v>
      </c>
      <c r="M104" s="2">
        <v>1467027.32</v>
      </c>
      <c r="N104" s="5">
        <v>0</v>
      </c>
      <c r="O104" s="5">
        <v>0</v>
      </c>
      <c r="P104" s="5">
        <v>0</v>
      </c>
      <c r="Q104" s="2">
        <v>308075.74</v>
      </c>
      <c r="R104" s="5">
        <v>1775103.06</v>
      </c>
    </row>
    <row r="105" spans="1:18" x14ac:dyDescent="0.25">
      <c r="A105" s="1">
        <v>45967</v>
      </c>
      <c r="B105" s="1">
        <v>1</v>
      </c>
      <c r="C105" s="5">
        <v>5</v>
      </c>
      <c r="D105" s="5">
        <v>15214</v>
      </c>
      <c r="E105" s="7" t="str">
        <f t="shared" si="2"/>
        <v>000500015214</v>
      </c>
      <c r="F105" s="7" t="str">
        <f t="shared" si="3"/>
        <v>23066238849000500015214</v>
      </c>
      <c r="G105" s="5">
        <v>75459813244550</v>
      </c>
      <c r="H105" s="1">
        <v>80</v>
      </c>
      <c r="I105" s="5">
        <v>23066238849</v>
      </c>
      <c r="J105" s="1" t="s">
        <v>138</v>
      </c>
      <c r="K105" s="5">
        <v>1</v>
      </c>
      <c r="L105" s="1" t="s">
        <v>168</v>
      </c>
      <c r="M105" s="2">
        <v>33057.85</v>
      </c>
      <c r="N105" s="5">
        <v>0</v>
      </c>
      <c r="O105" s="5">
        <v>0</v>
      </c>
      <c r="P105" s="2">
        <v>0</v>
      </c>
      <c r="Q105" s="2">
        <v>6942.15</v>
      </c>
      <c r="R105" s="2">
        <v>40000</v>
      </c>
    </row>
    <row r="106" spans="1:18" x14ac:dyDescent="0.25">
      <c r="A106" s="1">
        <v>45967</v>
      </c>
      <c r="B106" s="1">
        <v>1</v>
      </c>
      <c r="C106" s="5">
        <v>3</v>
      </c>
      <c r="D106" s="5">
        <v>1146</v>
      </c>
      <c r="E106" s="7" t="str">
        <f t="shared" si="2"/>
        <v>000300001146</v>
      </c>
      <c r="F106" s="7" t="str">
        <f t="shared" si="3"/>
        <v>30717292355000300001146</v>
      </c>
      <c r="G106" s="5">
        <v>75455819645079</v>
      </c>
      <c r="H106" s="1">
        <v>80</v>
      </c>
      <c r="I106" s="5">
        <v>30717292355</v>
      </c>
      <c r="J106" s="1" t="s">
        <v>294</v>
      </c>
      <c r="K106" s="5">
        <v>1</v>
      </c>
      <c r="L106" s="1" t="s">
        <v>168</v>
      </c>
      <c r="M106" s="2">
        <v>24628.1</v>
      </c>
      <c r="N106" s="5">
        <v>0</v>
      </c>
      <c r="O106" s="5">
        <v>0</v>
      </c>
      <c r="P106" s="5">
        <v>0</v>
      </c>
      <c r="Q106" s="2">
        <v>5171.8999999999996</v>
      </c>
      <c r="R106" s="2">
        <v>29800</v>
      </c>
    </row>
    <row r="107" spans="1:18" x14ac:dyDescent="0.25">
      <c r="A107" s="1">
        <v>45967</v>
      </c>
      <c r="B107" s="1">
        <v>1</v>
      </c>
      <c r="C107" s="5">
        <v>333</v>
      </c>
      <c r="D107" s="5">
        <v>124879</v>
      </c>
      <c r="E107" s="7" t="str">
        <f t="shared" si="2"/>
        <v>033300124879</v>
      </c>
      <c r="F107" s="7" t="str">
        <f t="shared" si="3"/>
        <v>30646512952033300124879</v>
      </c>
      <c r="G107" s="5">
        <v>35432150758787</v>
      </c>
      <c r="H107" s="1">
        <v>80</v>
      </c>
      <c r="I107" s="5">
        <v>30646512952</v>
      </c>
      <c r="J107" s="1" t="s">
        <v>320</v>
      </c>
      <c r="K107" s="5">
        <v>1</v>
      </c>
      <c r="L107" s="1" t="s">
        <v>168</v>
      </c>
      <c r="M107" s="2">
        <v>7749414.3399999999</v>
      </c>
      <c r="N107" s="5">
        <v>0</v>
      </c>
      <c r="O107" s="5">
        <v>0</v>
      </c>
      <c r="P107" s="5">
        <v>0</v>
      </c>
      <c r="Q107" s="2">
        <v>1627377.02</v>
      </c>
      <c r="R107" s="2">
        <v>9376791.3599999994</v>
      </c>
    </row>
    <row r="108" spans="1:18" x14ac:dyDescent="0.25">
      <c r="A108" s="1">
        <v>45967</v>
      </c>
      <c r="B108" s="1">
        <v>1</v>
      </c>
      <c r="C108" s="5">
        <v>4</v>
      </c>
      <c r="D108" s="5">
        <v>62</v>
      </c>
      <c r="E108" s="7" t="str">
        <f t="shared" si="2"/>
        <v>000400000062</v>
      </c>
      <c r="F108" s="7" t="str">
        <f t="shared" si="3"/>
        <v>30718545230000400000062</v>
      </c>
      <c r="G108" s="5">
        <v>75450838969511</v>
      </c>
      <c r="H108" s="1">
        <v>80</v>
      </c>
      <c r="I108" s="5">
        <v>30718545230</v>
      </c>
      <c r="J108" s="1" t="s">
        <v>891</v>
      </c>
      <c r="K108" s="5">
        <v>1</v>
      </c>
      <c r="L108" s="1" t="s">
        <v>168</v>
      </c>
      <c r="M108" s="1">
        <v>5371.9</v>
      </c>
      <c r="N108" s="5">
        <v>0</v>
      </c>
      <c r="O108" s="5">
        <v>0</v>
      </c>
      <c r="P108" s="5">
        <v>0</v>
      </c>
      <c r="Q108" s="2">
        <v>1128.0999999999999</v>
      </c>
      <c r="R108" s="5">
        <v>6500</v>
      </c>
    </row>
    <row r="109" spans="1:18" x14ac:dyDescent="0.25">
      <c r="A109" s="1">
        <v>45967</v>
      </c>
      <c r="B109" s="1">
        <v>1</v>
      </c>
      <c r="C109" s="5">
        <v>3</v>
      </c>
      <c r="D109" s="5">
        <v>1522</v>
      </c>
      <c r="E109" s="7" t="str">
        <f t="shared" si="2"/>
        <v>000300001522</v>
      </c>
      <c r="F109" s="7" t="str">
        <f t="shared" si="3"/>
        <v>20162895142000300001522</v>
      </c>
      <c r="G109" s="5">
        <v>75452883286529</v>
      </c>
      <c r="H109" s="1">
        <v>80</v>
      </c>
      <c r="I109" s="5">
        <v>20162895142</v>
      </c>
      <c r="J109" s="1" t="s">
        <v>62</v>
      </c>
      <c r="K109" s="5">
        <v>1</v>
      </c>
      <c r="L109" s="1" t="s">
        <v>168</v>
      </c>
      <c r="M109" s="2">
        <v>38181</v>
      </c>
      <c r="N109" s="5">
        <v>0</v>
      </c>
      <c r="O109" s="5">
        <v>0</v>
      </c>
      <c r="P109" s="5">
        <v>0</v>
      </c>
      <c r="Q109" s="2">
        <v>8018.01</v>
      </c>
      <c r="R109" s="2">
        <v>46199.01</v>
      </c>
    </row>
    <row r="110" spans="1:18" x14ac:dyDescent="0.25">
      <c r="A110" s="1">
        <v>45967</v>
      </c>
      <c r="B110" s="1">
        <v>1</v>
      </c>
      <c r="C110" s="5">
        <v>2</v>
      </c>
      <c r="D110" s="5">
        <v>396</v>
      </c>
      <c r="E110" s="7" t="str">
        <f t="shared" si="2"/>
        <v>000200000396</v>
      </c>
      <c r="F110" s="7" t="str">
        <f t="shared" si="3"/>
        <v>20201410879000200000396</v>
      </c>
      <c r="G110" s="5">
        <v>75459818698065</v>
      </c>
      <c r="H110" s="1">
        <v>80</v>
      </c>
      <c r="I110" s="5">
        <v>20201410879</v>
      </c>
      <c r="J110" s="1" t="s">
        <v>544</v>
      </c>
      <c r="K110" s="5">
        <v>1</v>
      </c>
      <c r="L110" s="1" t="s">
        <v>168</v>
      </c>
      <c r="M110" s="2">
        <v>1439500</v>
      </c>
      <c r="N110" s="5">
        <v>0</v>
      </c>
      <c r="O110" s="5">
        <v>0</v>
      </c>
      <c r="P110" s="5">
        <v>0</v>
      </c>
      <c r="Q110" s="2">
        <v>302295</v>
      </c>
      <c r="R110" s="2">
        <v>1741795</v>
      </c>
    </row>
    <row r="111" spans="1:18" x14ac:dyDescent="0.25">
      <c r="A111" s="1">
        <v>45967</v>
      </c>
      <c r="B111" s="1">
        <v>1</v>
      </c>
      <c r="C111" s="5">
        <v>4</v>
      </c>
      <c r="D111" s="5">
        <v>60</v>
      </c>
      <c r="E111" s="7" t="str">
        <f t="shared" si="2"/>
        <v>000400000060</v>
      </c>
      <c r="F111" s="7" t="str">
        <f t="shared" si="3"/>
        <v>30718545230000400000060</v>
      </c>
      <c r="G111" s="5">
        <v>75450838568716</v>
      </c>
      <c r="H111" s="1">
        <v>80</v>
      </c>
      <c r="I111" s="5">
        <v>30718545230</v>
      </c>
      <c r="J111" s="1" t="s">
        <v>891</v>
      </c>
      <c r="K111" s="5">
        <v>1</v>
      </c>
      <c r="L111" s="1" t="s">
        <v>168</v>
      </c>
      <c r="M111" s="2">
        <v>5371.9</v>
      </c>
      <c r="N111" s="5">
        <v>0</v>
      </c>
      <c r="O111" s="5">
        <v>0</v>
      </c>
      <c r="P111" s="5">
        <v>0</v>
      </c>
      <c r="Q111" s="2">
        <v>1128.0999999999999</v>
      </c>
      <c r="R111" s="2">
        <v>6500</v>
      </c>
    </row>
    <row r="112" spans="1:18" x14ac:dyDescent="0.25">
      <c r="A112" s="1">
        <v>45967</v>
      </c>
      <c r="B112" s="1">
        <v>1</v>
      </c>
      <c r="C112" s="5">
        <v>4</v>
      </c>
      <c r="D112" s="5">
        <v>61</v>
      </c>
      <c r="E112" s="7" t="str">
        <f t="shared" si="2"/>
        <v>000400000061</v>
      </c>
      <c r="F112" s="7" t="str">
        <f t="shared" si="3"/>
        <v>30718545230000400000061</v>
      </c>
      <c r="G112" s="5">
        <v>75450838775731</v>
      </c>
      <c r="H112" s="1">
        <v>80</v>
      </c>
      <c r="I112" s="5">
        <v>30718545230</v>
      </c>
      <c r="J112" s="1" t="s">
        <v>891</v>
      </c>
      <c r="K112" s="5">
        <v>1</v>
      </c>
      <c r="L112" s="1" t="s">
        <v>168</v>
      </c>
      <c r="M112" s="5">
        <v>5371.9</v>
      </c>
      <c r="N112" s="5">
        <v>0</v>
      </c>
      <c r="O112" s="5">
        <v>0</v>
      </c>
      <c r="P112" s="5">
        <v>0</v>
      </c>
      <c r="Q112" s="5">
        <v>1128.0999999999999</v>
      </c>
      <c r="R112" s="5">
        <v>6500</v>
      </c>
    </row>
    <row r="113" spans="1:18" x14ac:dyDescent="0.25">
      <c r="A113" s="1">
        <v>45967</v>
      </c>
      <c r="B113" s="1">
        <v>1</v>
      </c>
      <c r="C113" s="5">
        <v>267</v>
      </c>
      <c r="D113" s="5">
        <v>906383</v>
      </c>
      <c r="E113" s="7" t="str">
        <f t="shared" si="2"/>
        <v>026700906383</v>
      </c>
      <c r="F113" s="7" t="str">
        <f t="shared" si="3"/>
        <v>30500529454026700906383</v>
      </c>
      <c r="G113" s="5">
        <v>75454853627021</v>
      </c>
      <c r="H113" s="1">
        <v>80</v>
      </c>
      <c r="I113" s="5">
        <v>30500529454</v>
      </c>
      <c r="J113" s="1" t="s">
        <v>309</v>
      </c>
      <c r="K113" s="5">
        <v>1</v>
      </c>
      <c r="L113" s="1" t="s">
        <v>168</v>
      </c>
      <c r="M113" s="1">
        <v>50895208.100000001</v>
      </c>
      <c r="N113" s="1">
        <v>0</v>
      </c>
      <c r="O113" s="1">
        <v>0</v>
      </c>
      <c r="P113" s="5">
        <v>2799236.44</v>
      </c>
      <c r="Q113" s="1">
        <v>10687993.699999999</v>
      </c>
      <c r="R113" s="2">
        <v>64382438.219999999</v>
      </c>
    </row>
    <row r="114" spans="1:18" x14ac:dyDescent="0.25">
      <c r="A114" s="1">
        <v>45967</v>
      </c>
      <c r="B114" s="1">
        <v>1</v>
      </c>
      <c r="C114" s="5">
        <v>267</v>
      </c>
      <c r="D114" s="5">
        <v>906384</v>
      </c>
      <c r="E114" s="7" t="str">
        <f t="shared" si="2"/>
        <v>026700906384</v>
      </c>
      <c r="F114" s="7" t="str">
        <f t="shared" si="3"/>
        <v>30500529454026700906384</v>
      </c>
      <c r="G114" s="5">
        <v>75454853667125</v>
      </c>
      <c r="H114" s="1">
        <v>80</v>
      </c>
      <c r="I114" s="5">
        <v>30500529454</v>
      </c>
      <c r="J114" s="1" t="s">
        <v>309</v>
      </c>
      <c r="K114" s="5">
        <v>1</v>
      </c>
      <c r="L114" s="1" t="s">
        <v>168</v>
      </c>
      <c r="M114" s="1">
        <v>523308.57</v>
      </c>
      <c r="N114" s="1">
        <v>0</v>
      </c>
      <c r="O114" s="1">
        <v>0</v>
      </c>
      <c r="P114" s="5">
        <v>28781.97</v>
      </c>
      <c r="Q114" s="1">
        <v>109894.8</v>
      </c>
      <c r="R114" s="5">
        <v>661985.37</v>
      </c>
    </row>
    <row r="115" spans="1:18" x14ac:dyDescent="0.25">
      <c r="A115" s="1">
        <v>45967</v>
      </c>
      <c r="B115" s="1">
        <v>1</v>
      </c>
      <c r="C115" s="5">
        <v>215</v>
      </c>
      <c r="D115" s="5">
        <v>100374</v>
      </c>
      <c r="E115" s="7" t="str">
        <f t="shared" si="2"/>
        <v>021500100374</v>
      </c>
      <c r="F115" s="7" t="str">
        <f t="shared" si="3"/>
        <v>30500529071021500100374</v>
      </c>
      <c r="G115" s="5">
        <v>35431670074949</v>
      </c>
      <c r="H115" s="1">
        <v>80</v>
      </c>
      <c r="I115" s="5">
        <v>30500529071</v>
      </c>
      <c r="J115" s="1" t="s">
        <v>179</v>
      </c>
      <c r="K115" s="5">
        <v>1</v>
      </c>
      <c r="L115" s="1" t="s">
        <v>168</v>
      </c>
      <c r="M115" s="1">
        <v>6574624.8600000003</v>
      </c>
      <c r="P115" s="5">
        <v>361604.23</v>
      </c>
      <c r="Q115" s="1">
        <v>1380671.22</v>
      </c>
      <c r="R115" s="5">
        <v>8316900.0599999996</v>
      </c>
    </row>
    <row r="116" spans="1:18" x14ac:dyDescent="0.25">
      <c r="A116" s="1">
        <v>45967</v>
      </c>
      <c r="B116" s="1">
        <v>1</v>
      </c>
      <c r="C116" s="5">
        <v>215</v>
      </c>
      <c r="D116" s="5">
        <v>100377</v>
      </c>
      <c r="E116" s="7" t="str">
        <f t="shared" si="2"/>
        <v>021500100377</v>
      </c>
      <c r="F116" s="7" t="str">
        <f t="shared" si="3"/>
        <v>30500529071021500100377</v>
      </c>
      <c r="G116" s="5">
        <v>35431670074949</v>
      </c>
      <c r="H116" s="1">
        <v>80</v>
      </c>
      <c r="I116" s="5">
        <v>30500529071</v>
      </c>
      <c r="J116" s="1" t="s">
        <v>179</v>
      </c>
      <c r="K116" s="5">
        <v>1</v>
      </c>
      <c r="L116" s="1" t="s">
        <v>168</v>
      </c>
      <c r="M116" s="1">
        <v>848514.67</v>
      </c>
      <c r="P116" s="5">
        <v>46668.31</v>
      </c>
      <c r="Q116" s="1">
        <v>178188.08</v>
      </c>
      <c r="R116" s="2">
        <v>1073371.06</v>
      </c>
    </row>
    <row r="117" spans="1:18" x14ac:dyDescent="0.25">
      <c r="A117" s="1">
        <v>45967</v>
      </c>
      <c r="B117" s="1">
        <v>3</v>
      </c>
      <c r="C117" s="5">
        <v>201</v>
      </c>
      <c r="D117" s="5">
        <v>270079</v>
      </c>
      <c r="E117" s="7" t="str">
        <f t="shared" si="2"/>
        <v>020100270079</v>
      </c>
      <c r="F117" s="7" t="str">
        <f t="shared" si="3"/>
        <v>30500529071020100270079</v>
      </c>
      <c r="G117" s="5">
        <v>35431670074949</v>
      </c>
      <c r="H117" s="1">
        <v>80</v>
      </c>
      <c r="I117" s="5">
        <v>30500529071</v>
      </c>
      <c r="J117" s="1" t="s">
        <v>179</v>
      </c>
      <c r="K117" s="5">
        <v>1</v>
      </c>
      <c r="L117" s="1" t="s">
        <v>168</v>
      </c>
      <c r="M117" s="1">
        <v>42425.71</v>
      </c>
      <c r="P117" s="5">
        <v>1272.77</v>
      </c>
      <c r="Q117" s="1">
        <v>8909.4</v>
      </c>
      <c r="R117" s="2">
        <v>52607.9</v>
      </c>
    </row>
    <row r="118" spans="1:18" x14ac:dyDescent="0.25">
      <c r="A118" s="1">
        <v>45967</v>
      </c>
      <c r="B118" s="1">
        <v>11</v>
      </c>
      <c r="C118" s="5">
        <v>2</v>
      </c>
      <c r="D118" s="5">
        <v>501</v>
      </c>
      <c r="E118" s="7" t="str">
        <f t="shared" si="2"/>
        <v>000200000501</v>
      </c>
      <c r="F118" s="7" t="str">
        <f t="shared" si="3"/>
        <v>27173680614000200000501</v>
      </c>
      <c r="G118" s="5">
        <v>75454767489137</v>
      </c>
      <c r="H118" s="1">
        <v>80</v>
      </c>
      <c r="I118" s="5">
        <v>27173680614</v>
      </c>
      <c r="J118" s="1" t="s">
        <v>181</v>
      </c>
      <c r="K118" s="5">
        <v>1</v>
      </c>
      <c r="L118" s="1" t="s">
        <v>168</v>
      </c>
      <c r="M118" s="1">
        <v>0</v>
      </c>
      <c r="N118" s="1">
        <v>0</v>
      </c>
      <c r="O118" s="1">
        <v>0</v>
      </c>
      <c r="P118" s="5">
        <v>0</v>
      </c>
      <c r="Q118" s="1">
        <v>0</v>
      </c>
      <c r="R118" s="2">
        <v>581160</v>
      </c>
    </row>
    <row r="119" spans="1:18" x14ac:dyDescent="0.25">
      <c r="A119" s="1">
        <v>45968</v>
      </c>
      <c r="B119" s="1">
        <v>1</v>
      </c>
      <c r="C119" s="5">
        <v>3</v>
      </c>
      <c r="D119" s="5">
        <v>121</v>
      </c>
      <c r="E119" s="7" t="str">
        <f t="shared" si="2"/>
        <v>000300000121</v>
      </c>
      <c r="F119" s="7" t="str">
        <f t="shared" si="3"/>
        <v>30717903524000300000121</v>
      </c>
      <c r="G119" s="5">
        <v>75454903547118</v>
      </c>
      <c r="H119" s="1">
        <v>80</v>
      </c>
      <c r="I119" s="5">
        <v>30717903524</v>
      </c>
      <c r="J119" s="1" t="s">
        <v>892</v>
      </c>
      <c r="K119" s="5">
        <v>1</v>
      </c>
      <c r="L119" s="1" t="s">
        <v>168</v>
      </c>
      <c r="M119" s="2">
        <v>25289.26</v>
      </c>
      <c r="N119" s="5">
        <v>0</v>
      </c>
      <c r="O119" s="5">
        <v>0</v>
      </c>
      <c r="P119" s="5">
        <v>0</v>
      </c>
      <c r="Q119" s="2">
        <v>5310.74</v>
      </c>
      <c r="R119" s="2">
        <v>30600</v>
      </c>
    </row>
    <row r="120" spans="1:18" x14ac:dyDescent="0.25">
      <c r="A120" s="1">
        <v>45968</v>
      </c>
      <c r="B120" s="1">
        <v>1</v>
      </c>
      <c r="C120" s="5">
        <v>4</v>
      </c>
      <c r="D120" s="5">
        <v>2656</v>
      </c>
      <c r="E120" s="7" t="str">
        <f t="shared" si="2"/>
        <v>000400002656</v>
      </c>
      <c r="F120" s="7" t="str">
        <f t="shared" si="3"/>
        <v>20335001932000400002656</v>
      </c>
      <c r="G120" s="5">
        <v>75452919100349</v>
      </c>
      <c r="H120" s="1">
        <v>80</v>
      </c>
      <c r="I120" s="5">
        <v>20335001932</v>
      </c>
      <c r="J120" s="1" t="s">
        <v>196</v>
      </c>
      <c r="K120" s="5">
        <v>1</v>
      </c>
      <c r="L120" s="1" t="s">
        <v>168</v>
      </c>
      <c r="M120" s="5">
        <v>3611.57</v>
      </c>
      <c r="N120" s="5">
        <v>0</v>
      </c>
      <c r="O120" s="5">
        <v>0</v>
      </c>
      <c r="P120" s="5">
        <v>0</v>
      </c>
      <c r="Q120" s="5">
        <v>758.43</v>
      </c>
      <c r="R120" s="5">
        <v>4370</v>
      </c>
    </row>
    <row r="121" spans="1:18" x14ac:dyDescent="0.25">
      <c r="A121" s="1">
        <v>45968</v>
      </c>
      <c r="B121" s="1">
        <v>1</v>
      </c>
      <c r="C121" s="5">
        <v>25</v>
      </c>
      <c r="D121" s="5">
        <v>54028</v>
      </c>
      <c r="E121" s="7" t="str">
        <f t="shared" si="2"/>
        <v>002500054028</v>
      </c>
      <c r="F121" s="7" t="str">
        <f t="shared" si="3"/>
        <v>30543035064002500054028</v>
      </c>
      <c r="G121" s="5">
        <v>75454919248708</v>
      </c>
      <c r="H121" s="1">
        <v>80</v>
      </c>
      <c r="I121" s="5">
        <v>30543035064</v>
      </c>
      <c r="J121" s="1" t="s">
        <v>893</v>
      </c>
      <c r="K121" s="5">
        <v>1</v>
      </c>
      <c r="L121" s="1" t="s">
        <v>168</v>
      </c>
      <c r="M121" s="5">
        <v>72727.25</v>
      </c>
      <c r="N121" s="5">
        <v>0</v>
      </c>
      <c r="O121" s="5">
        <v>0</v>
      </c>
      <c r="P121" s="5">
        <v>11999.99</v>
      </c>
      <c r="Q121" s="5">
        <v>15272.72</v>
      </c>
      <c r="R121" s="5">
        <v>99999.96</v>
      </c>
    </row>
    <row r="122" spans="1:18" x14ac:dyDescent="0.25">
      <c r="A122" s="1">
        <v>45968</v>
      </c>
      <c r="B122" s="1">
        <v>1</v>
      </c>
      <c r="C122" s="5">
        <v>18</v>
      </c>
      <c r="D122" s="5">
        <v>9346</v>
      </c>
      <c r="E122" s="7" t="str">
        <f t="shared" si="2"/>
        <v>001800009346</v>
      </c>
      <c r="F122" s="7" t="str">
        <f t="shared" si="3"/>
        <v>30601652044001800009346</v>
      </c>
      <c r="G122" s="5">
        <v>75454970291574</v>
      </c>
      <c r="H122" s="1">
        <v>80</v>
      </c>
      <c r="I122" s="5">
        <v>30601652044</v>
      </c>
      <c r="J122" s="1" t="s">
        <v>92</v>
      </c>
      <c r="K122" s="5">
        <v>1</v>
      </c>
      <c r="L122" s="1" t="s">
        <v>168</v>
      </c>
      <c r="M122" s="2">
        <v>32338.7</v>
      </c>
      <c r="N122" s="5">
        <v>0</v>
      </c>
      <c r="O122" s="5">
        <v>0</v>
      </c>
      <c r="P122" s="5">
        <v>0</v>
      </c>
      <c r="Q122" s="2">
        <v>6791.13</v>
      </c>
      <c r="R122" s="2">
        <v>39129.83</v>
      </c>
    </row>
    <row r="123" spans="1:18" x14ac:dyDescent="0.25">
      <c r="A123" s="1">
        <v>45968</v>
      </c>
      <c r="B123" s="1">
        <v>1</v>
      </c>
      <c r="C123" s="5">
        <v>10</v>
      </c>
      <c r="D123" s="5">
        <v>12250</v>
      </c>
      <c r="E123" s="7" t="str">
        <f t="shared" si="2"/>
        <v>001000012250</v>
      </c>
      <c r="F123" s="7" t="str">
        <f t="shared" si="3"/>
        <v>30502036269001000012250</v>
      </c>
      <c r="G123" s="5">
        <v>75459973629420</v>
      </c>
      <c r="H123" s="1">
        <v>80</v>
      </c>
      <c r="I123" s="5">
        <v>30502036269</v>
      </c>
      <c r="J123" s="1" t="s">
        <v>185</v>
      </c>
      <c r="K123" s="5">
        <v>1</v>
      </c>
      <c r="L123" s="1" t="s">
        <v>168</v>
      </c>
      <c r="M123" s="2">
        <v>1058387.55</v>
      </c>
      <c r="N123" s="5">
        <v>0</v>
      </c>
      <c r="O123" s="5">
        <v>0</v>
      </c>
      <c r="P123" s="5">
        <v>0</v>
      </c>
      <c r="Q123" s="2">
        <v>222261.38</v>
      </c>
      <c r="R123" s="2">
        <v>1280648.93</v>
      </c>
    </row>
    <row r="124" spans="1:18" x14ac:dyDescent="0.25">
      <c r="A124" s="1">
        <v>45968</v>
      </c>
      <c r="B124" s="1">
        <v>1</v>
      </c>
      <c r="C124" s="5">
        <v>3</v>
      </c>
      <c r="D124" s="5">
        <v>2394</v>
      </c>
      <c r="E124" s="7" t="str">
        <f t="shared" si="2"/>
        <v>000300002394</v>
      </c>
      <c r="F124" s="7" t="str">
        <f t="shared" si="3"/>
        <v>30612003919000300002394</v>
      </c>
      <c r="G124" s="5">
        <v>75459917314006</v>
      </c>
      <c r="H124" s="1">
        <v>80</v>
      </c>
      <c r="I124" s="5">
        <v>30612003919</v>
      </c>
      <c r="J124" s="1" t="s">
        <v>190</v>
      </c>
      <c r="K124" s="5">
        <v>1</v>
      </c>
      <c r="L124" s="1" t="s">
        <v>168</v>
      </c>
      <c r="M124" s="2">
        <v>14876.03</v>
      </c>
      <c r="N124" s="5">
        <v>0</v>
      </c>
      <c r="O124" s="5">
        <v>0</v>
      </c>
      <c r="P124" s="5">
        <v>0</v>
      </c>
      <c r="Q124" s="2">
        <v>3123.97</v>
      </c>
      <c r="R124" s="2">
        <v>18000</v>
      </c>
    </row>
    <row r="125" spans="1:18" x14ac:dyDescent="0.25">
      <c r="A125" s="1">
        <v>45968</v>
      </c>
      <c r="B125" s="1">
        <v>1</v>
      </c>
      <c r="C125" s="5">
        <v>10</v>
      </c>
      <c r="D125" s="5">
        <v>12251</v>
      </c>
      <c r="E125" s="7" t="str">
        <f t="shared" si="2"/>
        <v>001000012251</v>
      </c>
      <c r="F125" s="7" t="str">
        <f t="shared" si="3"/>
        <v>30502036269001000012251</v>
      </c>
      <c r="G125" s="5">
        <v>75459973867042</v>
      </c>
      <c r="H125" s="1">
        <v>80</v>
      </c>
      <c r="I125" s="5">
        <v>30502036269</v>
      </c>
      <c r="J125" s="1" t="s">
        <v>185</v>
      </c>
      <c r="K125" s="5">
        <v>1</v>
      </c>
      <c r="L125" s="1" t="s">
        <v>168</v>
      </c>
      <c r="M125" s="2">
        <v>2393304.8199999998</v>
      </c>
      <c r="N125" s="5">
        <v>0</v>
      </c>
      <c r="O125" s="5">
        <v>0</v>
      </c>
      <c r="P125" s="1">
        <v>0</v>
      </c>
      <c r="Q125" s="2">
        <v>502594.01</v>
      </c>
      <c r="R125" s="2">
        <v>2895898.83</v>
      </c>
    </row>
    <row r="126" spans="1:18" x14ac:dyDescent="0.25">
      <c r="A126" s="1">
        <v>45968</v>
      </c>
      <c r="B126" s="1">
        <v>1</v>
      </c>
      <c r="C126" s="5">
        <v>8</v>
      </c>
      <c r="D126" s="5">
        <v>2011</v>
      </c>
      <c r="E126" s="7" t="str">
        <f t="shared" si="2"/>
        <v>000800002011</v>
      </c>
      <c r="F126" s="7" t="str">
        <f t="shared" si="3"/>
        <v>30684420085000800002011</v>
      </c>
      <c r="G126" s="5">
        <v>75455908567413</v>
      </c>
      <c r="H126" s="1">
        <v>80</v>
      </c>
      <c r="I126" s="5">
        <v>30684420085</v>
      </c>
      <c r="J126" s="1" t="s">
        <v>894</v>
      </c>
      <c r="K126" s="5">
        <v>1</v>
      </c>
      <c r="L126" s="1" t="s">
        <v>168</v>
      </c>
      <c r="M126" s="1">
        <v>2389500</v>
      </c>
      <c r="N126" s="5">
        <v>0</v>
      </c>
      <c r="O126" s="5">
        <v>0</v>
      </c>
      <c r="P126" s="2">
        <v>0</v>
      </c>
      <c r="Q126" s="2">
        <v>501795</v>
      </c>
      <c r="R126" s="2">
        <v>2891295</v>
      </c>
    </row>
    <row r="127" spans="1:18" x14ac:dyDescent="0.25">
      <c r="A127" s="1">
        <v>45968</v>
      </c>
      <c r="B127" s="1">
        <v>1</v>
      </c>
      <c r="C127" s="5">
        <v>3</v>
      </c>
      <c r="D127" s="5">
        <v>1084</v>
      </c>
      <c r="E127" s="7" t="str">
        <f t="shared" si="2"/>
        <v>000300001084</v>
      </c>
      <c r="F127" s="7" t="str">
        <f t="shared" si="3"/>
        <v>30717522636000300001084</v>
      </c>
      <c r="G127" s="5">
        <v>75456942751847</v>
      </c>
      <c r="H127" s="1">
        <v>80</v>
      </c>
      <c r="I127" s="5">
        <v>30717522636</v>
      </c>
      <c r="J127" s="1" t="s">
        <v>198</v>
      </c>
      <c r="K127" s="5">
        <v>1</v>
      </c>
      <c r="L127" s="1" t="s">
        <v>168</v>
      </c>
      <c r="M127" s="5">
        <v>918250.51</v>
      </c>
      <c r="N127" s="5">
        <v>57846.879999999997</v>
      </c>
      <c r="O127" s="5">
        <v>0</v>
      </c>
      <c r="P127" s="2">
        <v>0</v>
      </c>
      <c r="Q127" s="2">
        <v>192832.61</v>
      </c>
      <c r="R127" s="1">
        <v>1168930</v>
      </c>
    </row>
    <row r="128" spans="1:18" x14ac:dyDescent="0.25">
      <c r="A128" s="1">
        <v>45968</v>
      </c>
      <c r="B128" s="1">
        <v>1</v>
      </c>
      <c r="C128" s="5">
        <v>27</v>
      </c>
      <c r="D128" s="5">
        <v>29623</v>
      </c>
      <c r="E128" s="7" t="str">
        <f t="shared" si="2"/>
        <v>002700029623</v>
      </c>
      <c r="F128" s="7" t="str">
        <f t="shared" si="3"/>
        <v>33708336969002700029623</v>
      </c>
      <c r="G128" s="5">
        <v>75459958946526</v>
      </c>
      <c r="H128" s="1">
        <v>80</v>
      </c>
      <c r="I128" s="5">
        <v>33708336969</v>
      </c>
      <c r="J128" s="1" t="s">
        <v>191</v>
      </c>
      <c r="K128" s="5">
        <v>1</v>
      </c>
      <c r="L128" s="1" t="s">
        <v>168</v>
      </c>
      <c r="M128" s="5">
        <v>804945.49</v>
      </c>
      <c r="N128" s="5">
        <v>0</v>
      </c>
      <c r="O128" s="5">
        <v>0</v>
      </c>
      <c r="P128" s="2">
        <v>132873.95000000001</v>
      </c>
      <c r="Q128" s="2">
        <v>169038.55</v>
      </c>
      <c r="R128" s="1">
        <v>1106857.99</v>
      </c>
    </row>
    <row r="129" spans="1:18" x14ac:dyDescent="0.25">
      <c r="A129" s="1">
        <v>45968</v>
      </c>
      <c r="B129" s="1">
        <v>1</v>
      </c>
      <c r="C129" s="5">
        <v>3950</v>
      </c>
      <c r="D129" s="5">
        <v>5354505</v>
      </c>
      <c r="E129" s="7" t="str">
        <f t="shared" si="2"/>
        <v>395005354505</v>
      </c>
      <c r="F129" s="7" t="str">
        <f t="shared" si="3"/>
        <v>30639453738395005354505</v>
      </c>
      <c r="G129" s="5">
        <v>75458073082713</v>
      </c>
      <c r="H129" s="1">
        <v>80</v>
      </c>
      <c r="I129" s="5">
        <v>30639453738</v>
      </c>
      <c r="J129" s="1" t="s">
        <v>118</v>
      </c>
      <c r="K129" s="5">
        <v>1</v>
      </c>
      <c r="L129" s="1" t="s">
        <v>168</v>
      </c>
      <c r="M129" s="1">
        <v>6053.72</v>
      </c>
      <c r="N129" s="5">
        <v>0</v>
      </c>
      <c r="O129" s="5">
        <v>0</v>
      </c>
      <c r="P129" s="2">
        <v>181.61</v>
      </c>
      <c r="Q129" s="2">
        <v>1271.28</v>
      </c>
      <c r="R129" s="2">
        <v>7506.61</v>
      </c>
    </row>
    <row r="130" spans="1:18" x14ac:dyDescent="0.25">
      <c r="A130" s="1">
        <v>45968</v>
      </c>
      <c r="B130" s="1">
        <v>1</v>
      </c>
      <c r="C130" s="5">
        <v>4</v>
      </c>
      <c r="D130" s="5">
        <v>5938</v>
      </c>
      <c r="E130" s="7" t="str">
        <f t="shared" si="2"/>
        <v>000400005938</v>
      </c>
      <c r="F130" s="7" t="str">
        <f t="shared" si="3"/>
        <v>20363989099000400005938</v>
      </c>
      <c r="G130" s="5">
        <v>75459473607862</v>
      </c>
      <c r="H130" s="1">
        <v>80</v>
      </c>
      <c r="I130" s="5">
        <v>20363989099</v>
      </c>
      <c r="J130" s="1" t="s">
        <v>895</v>
      </c>
      <c r="K130" s="5">
        <v>1</v>
      </c>
      <c r="L130" s="1" t="s">
        <v>168</v>
      </c>
      <c r="M130" s="2">
        <v>71752.070000000007</v>
      </c>
      <c r="N130" s="5">
        <v>0</v>
      </c>
      <c r="O130" s="5">
        <v>0</v>
      </c>
      <c r="P130" s="1">
        <v>0</v>
      </c>
      <c r="Q130" s="2">
        <v>15067.93</v>
      </c>
      <c r="R130" s="2">
        <v>86820</v>
      </c>
    </row>
    <row r="131" spans="1:18" x14ac:dyDescent="0.25">
      <c r="A131" s="1">
        <v>45968</v>
      </c>
      <c r="B131" s="1">
        <v>1</v>
      </c>
      <c r="C131" s="5">
        <v>2</v>
      </c>
      <c r="D131" s="5">
        <v>2270</v>
      </c>
      <c r="E131" s="7" t="str">
        <f t="shared" ref="E131:E194" si="4">TEXT(C131,"0000")&amp;TEXT(D131,"00000000")</f>
        <v>000200002270</v>
      </c>
      <c r="F131" s="7" t="str">
        <f t="shared" ref="F131:F194" si="5">I131&amp;E131</f>
        <v>20201399298000200002270</v>
      </c>
      <c r="G131" s="5">
        <v>75458907851235</v>
      </c>
      <c r="H131" s="1">
        <v>80</v>
      </c>
      <c r="I131" s="5">
        <v>20201399298</v>
      </c>
      <c r="J131" s="1" t="s">
        <v>273</v>
      </c>
      <c r="K131" s="5">
        <v>1</v>
      </c>
      <c r="L131" s="1" t="s">
        <v>168</v>
      </c>
      <c r="M131" s="1">
        <v>581000</v>
      </c>
      <c r="N131" s="5">
        <v>0</v>
      </c>
      <c r="O131" s="5">
        <v>0</v>
      </c>
      <c r="P131" s="5">
        <v>0</v>
      </c>
      <c r="Q131" s="2">
        <v>122010</v>
      </c>
      <c r="R131" s="2">
        <v>703010</v>
      </c>
    </row>
    <row r="132" spans="1:18" x14ac:dyDescent="0.25">
      <c r="A132" s="1">
        <v>45968</v>
      </c>
      <c r="B132" s="1">
        <v>1</v>
      </c>
      <c r="C132" s="5">
        <v>2</v>
      </c>
      <c r="D132" s="5">
        <v>154281</v>
      </c>
      <c r="E132" s="7" t="str">
        <f t="shared" si="4"/>
        <v>000200154281</v>
      </c>
      <c r="F132" s="7" t="str">
        <f t="shared" si="5"/>
        <v>30545692763000200154281</v>
      </c>
      <c r="G132" s="5">
        <v>75453972345430</v>
      </c>
      <c r="H132" s="1">
        <v>80</v>
      </c>
      <c r="I132" s="5">
        <v>30545692763</v>
      </c>
      <c r="J132" s="1" t="s">
        <v>126</v>
      </c>
      <c r="K132" s="5">
        <v>1</v>
      </c>
      <c r="L132" s="1" t="s">
        <v>168</v>
      </c>
      <c r="M132" s="1">
        <v>33873</v>
      </c>
      <c r="N132" s="5">
        <v>0</v>
      </c>
      <c r="O132" s="5">
        <v>0</v>
      </c>
      <c r="P132" s="2">
        <v>0</v>
      </c>
      <c r="Q132" s="2">
        <v>7483.23</v>
      </c>
      <c r="R132" s="2">
        <v>41356.230000000003</v>
      </c>
    </row>
    <row r="133" spans="1:18" x14ac:dyDescent="0.25">
      <c r="A133" s="1">
        <v>45968</v>
      </c>
      <c r="B133" s="1">
        <v>1</v>
      </c>
      <c r="C133" s="5">
        <v>79</v>
      </c>
      <c r="D133" s="5">
        <v>26848</v>
      </c>
      <c r="E133" s="7" t="str">
        <f t="shared" si="4"/>
        <v>007900026848</v>
      </c>
      <c r="F133" s="7" t="str">
        <f t="shared" si="5"/>
        <v>30503037226007900026848</v>
      </c>
      <c r="G133" s="5">
        <v>75456958071476</v>
      </c>
      <c r="H133" s="1">
        <v>80</v>
      </c>
      <c r="I133" s="5">
        <v>30503037226</v>
      </c>
      <c r="J133" s="1" t="s">
        <v>896</v>
      </c>
      <c r="K133" s="5">
        <v>1</v>
      </c>
      <c r="L133" s="1" t="s">
        <v>168</v>
      </c>
      <c r="M133" s="2">
        <v>2170450.7599999998</v>
      </c>
      <c r="N133" s="5">
        <v>0</v>
      </c>
      <c r="O133" s="5">
        <v>0</v>
      </c>
      <c r="P133" s="5">
        <v>0</v>
      </c>
      <c r="Q133" s="2">
        <v>455794.66</v>
      </c>
      <c r="R133" s="5">
        <v>2626245.42</v>
      </c>
    </row>
    <row r="134" spans="1:18" x14ac:dyDescent="0.25">
      <c r="A134" s="1">
        <v>45968</v>
      </c>
      <c r="B134" s="1">
        <v>3</v>
      </c>
      <c r="C134" s="5">
        <v>2</v>
      </c>
      <c r="D134" s="5">
        <v>8028</v>
      </c>
      <c r="E134" s="7" t="str">
        <f t="shared" si="4"/>
        <v>000200008028</v>
      </c>
      <c r="F134" s="7" t="str">
        <f t="shared" si="5"/>
        <v>33620532229000200008028</v>
      </c>
      <c r="G134" s="5">
        <v>75459906634604</v>
      </c>
      <c r="H134" s="1">
        <v>80</v>
      </c>
      <c r="I134" s="5">
        <v>33620532229</v>
      </c>
      <c r="J134" s="1" t="s">
        <v>308</v>
      </c>
      <c r="K134" s="5">
        <v>1</v>
      </c>
      <c r="L134" s="1" t="s">
        <v>168</v>
      </c>
      <c r="M134" s="1">
        <v>807554.16</v>
      </c>
      <c r="N134" s="5">
        <v>0</v>
      </c>
      <c r="O134" s="5">
        <v>0</v>
      </c>
      <c r="P134" s="5">
        <v>0</v>
      </c>
      <c r="Q134" s="2">
        <v>169586.37</v>
      </c>
      <c r="R134" s="2">
        <v>977140.53</v>
      </c>
    </row>
    <row r="135" spans="1:18" x14ac:dyDescent="0.25">
      <c r="A135" s="1">
        <v>45968</v>
      </c>
      <c r="B135" s="1">
        <v>3</v>
      </c>
      <c r="C135" s="5">
        <v>8</v>
      </c>
      <c r="D135" s="5">
        <v>24988</v>
      </c>
      <c r="E135" s="7" t="str">
        <f t="shared" si="4"/>
        <v>000800024988</v>
      </c>
      <c r="F135" s="7" t="str">
        <f t="shared" si="5"/>
        <v>30536184054000800024988</v>
      </c>
      <c r="G135" s="5">
        <v>75454907865853</v>
      </c>
      <c r="H135" s="1">
        <v>80</v>
      </c>
      <c r="I135" s="5">
        <v>30536184054</v>
      </c>
      <c r="J135" s="1" t="s">
        <v>186</v>
      </c>
      <c r="K135" s="5">
        <v>1</v>
      </c>
      <c r="L135" s="1" t="s">
        <v>168</v>
      </c>
      <c r="M135" s="1">
        <v>21157.68</v>
      </c>
      <c r="N135" s="5">
        <v>0</v>
      </c>
      <c r="O135" s="5">
        <v>0</v>
      </c>
      <c r="P135" s="5">
        <v>0</v>
      </c>
      <c r="Q135" s="2">
        <v>4443.1099999999997</v>
      </c>
      <c r="R135" s="2">
        <v>25600.79</v>
      </c>
    </row>
    <row r="136" spans="1:18" x14ac:dyDescent="0.25">
      <c r="A136" s="1">
        <v>45968</v>
      </c>
      <c r="B136" s="1">
        <v>3</v>
      </c>
      <c r="C136" s="5">
        <v>267</v>
      </c>
      <c r="D136" s="5">
        <v>172809</v>
      </c>
      <c r="E136" s="7" t="str">
        <f t="shared" si="4"/>
        <v>026700172809</v>
      </c>
      <c r="F136" s="7" t="str">
        <f t="shared" si="5"/>
        <v>30500529454026700172809</v>
      </c>
      <c r="G136" s="5">
        <v>75454385262158</v>
      </c>
      <c r="H136" s="1">
        <v>80</v>
      </c>
      <c r="I136" s="5">
        <v>30500529454</v>
      </c>
      <c r="J136" s="1" t="s">
        <v>309</v>
      </c>
      <c r="K136" s="5">
        <v>1</v>
      </c>
      <c r="L136" s="1" t="s">
        <v>168</v>
      </c>
      <c r="M136" s="1">
        <v>1487822.33</v>
      </c>
      <c r="N136" s="1">
        <v>0</v>
      </c>
      <c r="O136" s="1">
        <v>0</v>
      </c>
      <c r="P136" s="5">
        <v>0</v>
      </c>
      <c r="Q136" s="1">
        <v>312442.69</v>
      </c>
      <c r="R136" s="5">
        <v>1800265.04</v>
      </c>
    </row>
    <row r="137" spans="1:18" x14ac:dyDescent="0.25">
      <c r="A137" s="1">
        <v>45968</v>
      </c>
      <c r="B137" s="1">
        <v>3</v>
      </c>
      <c r="C137" s="5">
        <v>21</v>
      </c>
      <c r="D137" s="5">
        <v>243134</v>
      </c>
      <c r="E137" s="7" t="str">
        <f t="shared" si="4"/>
        <v>002100243134</v>
      </c>
      <c r="F137" s="7" t="str">
        <f t="shared" si="5"/>
        <v>33522734549002100243134</v>
      </c>
      <c r="G137" s="5">
        <v>35439367218964</v>
      </c>
      <c r="H137" s="1">
        <v>80</v>
      </c>
      <c r="I137" s="5">
        <v>33522734549</v>
      </c>
      <c r="J137" s="1" t="s">
        <v>193</v>
      </c>
      <c r="K137" s="5">
        <v>1</v>
      </c>
      <c r="L137" s="1" t="s">
        <v>168</v>
      </c>
      <c r="M137" s="2">
        <v>59543</v>
      </c>
      <c r="N137" s="5">
        <v>0</v>
      </c>
      <c r="O137" s="5">
        <v>0</v>
      </c>
      <c r="P137" s="5">
        <v>1786.29</v>
      </c>
      <c r="Q137" s="2">
        <v>12504.03</v>
      </c>
      <c r="R137" s="2">
        <v>73833.320000000007</v>
      </c>
    </row>
    <row r="138" spans="1:18" x14ac:dyDescent="0.25">
      <c r="A138" s="1">
        <v>45968</v>
      </c>
      <c r="B138" s="1">
        <v>11</v>
      </c>
      <c r="C138" s="5">
        <v>3</v>
      </c>
      <c r="D138" s="5">
        <v>225</v>
      </c>
      <c r="E138" s="7" t="str">
        <f t="shared" si="4"/>
        <v>000300000225</v>
      </c>
      <c r="F138" s="7" t="str">
        <f t="shared" si="5"/>
        <v>20293457116000300000225</v>
      </c>
      <c r="G138" s="5">
        <v>75456916068800</v>
      </c>
      <c r="H138" s="1">
        <v>80</v>
      </c>
      <c r="I138" s="5">
        <v>20293457116</v>
      </c>
      <c r="J138" s="1" t="s">
        <v>140</v>
      </c>
      <c r="K138" s="5">
        <v>1</v>
      </c>
      <c r="L138" s="1" t="s">
        <v>168</v>
      </c>
      <c r="M138" s="2">
        <v>0</v>
      </c>
      <c r="N138" s="5">
        <v>0</v>
      </c>
      <c r="O138" s="5">
        <v>0</v>
      </c>
      <c r="P138" s="5">
        <v>0</v>
      </c>
      <c r="Q138" s="2">
        <v>0</v>
      </c>
      <c r="R138" s="2">
        <v>354222.33</v>
      </c>
    </row>
    <row r="139" spans="1:18" x14ac:dyDescent="0.25">
      <c r="A139" s="1">
        <v>45971</v>
      </c>
      <c r="B139" s="1">
        <v>1</v>
      </c>
      <c r="C139" s="5">
        <v>3</v>
      </c>
      <c r="D139" s="5">
        <v>1015</v>
      </c>
      <c r="E139" s="7" t="str">
        <f t="shared" si="4"/>
        <v>000300001015</v>
      </c>
      <c r="F139" s="7" t="str">
        <f t="shared" si="5"/>
        <v>27301319172000300001015</v>
      </c>
      <c r="G139" s="5">
        <v>75452349018205</v>
      </c>
      <c r="H139" s="1">
        <v>80</v>
      </c>
      <c r="I139" s="5">
        <v>27301319172</v>
      </c>
      <c r="J139" s="1" t="s">
        <v>897</v>
      </c>
      <c r="K139" s="5">
        <v>1</v>
      </c>
      <c r="L139" s="1" t="s">
        <v>168</v>
      </c>
      <c r="M139" s="1">
        <v>203052.36</v>
      </c>
      <c r="N139" s="5">
        <v>0</v>
      </c>
      <c r="O139" s="5">
        <v>0</v>
      </c>
      <c r="P139" s="5">
        <v>0</v>
      </c>
      <c r="Q139" s="2">
        <v>42641</v>
      </c>
      <c r="R139" s="2">
        <v>245693.36</v>
      </c>
    </row>
    <row r="140" spans="1:18" x14ac:dyDescent="0.25">
      <c r="A140" s="1">
        <v>45971</v>
      </c>
      <c r="B140" s="1">
        <v>1</v>
      </c>
      <c r="C140" s="5">
        <v>5</v>
      </c>
      <c r="D140" s="5">
        <v>7473</v>
      </c>
      <c r="E140" s="7" t="str">
        <f t="shared" si="4"/>
        <v>000500007473</v>
      </c>
      <c r="F140" s="7" t="str">
        <f t="shared" si="5"/>
        <v>20062582708000500007473</v>
      </c>
      <c r="G140" s="5">
        <v>75458306661239</v>
      </c>
      <c r="H140" s="1">
        <v>80</v>
      </c>
      <c r="I140" s="5">
        <v>20062582708</v>
      </c>
      <c r="J140" s="1" t="s">
        <v>599</v>
      </c>
      <c r="K140" s="5">
        <v>1</v>
      </c>
      <c r="L140" s="1" t="s">
        <v>168</v>
      </c>
      <c r="M140" s="2">
        <v>9051.84</v>
      </c>
      <c r="N140" s="5">
        <v>0</v>
      </c>
      <c r="O140" s="5">
        <v>0</v>
      </c>
      <c r="P140" s="2">
        <v>0</v>
      </c>
      <c r="Q140" s="2">
        <v>1900.89</v>
      </c>
      <c r="R140" s="2">
        <v>10952.73</v>
      </c>
    </row>
    <row r="141" spans="1:18" x14ac:dyDescent="0.25">
      <c r="A141" s="1">
        <v>45971</v>
      </c>
      <c r="B141" s="1">
        <v>1</v>
      </c>
      <c r="C141" s="5">
        <v>9</v>
      </c>
      <c r="D141" s="5">
        <v>2430</v>
      </c>
      <c r="E141" s="7" t="str">
        <f t="shared" si="4"/>
        <v>000900002430</v>
      </c>
      <c r="F141" s="7" t="str">
        <f t="shared" si="5"/>
        <v>30708273445000900002430</v>
      </c>
      <c r="G141" s="5">
        <v>75455291405173</v>
      </c>
      <c r="H141" s="1">
        <v>80</v>
      </c>
      <c r="I141" s="5">
        <v>30708273445</v>
      </c>
      <c r="J141" s="1" t="s">
        <v>898</v>
      </c>
      <c r="K141" s="5">
        <v>1</v>
      </c>
      <c r="L141" s="1" t="s">
        <v>168</v>
      </c>
      <c r="M141" s="2">
        <v>23801.64</v>
      </c>
      <c r="N141" s="5">
        <v>0</v>
      </c>
      <c r="O141" s="5">
        <v>0</v>
      </c>
      <c r="P141" s="5">
        <v>0</v>
      </c>
      <c r="Q141" s="2">
        <v>4998.34</v>
      </c>
      <c r="R141" s="1">
        <v>28799.98</v>
      </c>
    </row>
    <row r="142" spans="1:18" x14ac:dyDescent="0.25">
      <c r="A142" s="1">
        <v>45971</v>
      </c>
      <c r="B142" s="1">
        <v>1</v>
      </c>
      <c r="C142" s="5">
        <v>3</v>
      </c>
      <c r="D142" s="5">
        <v>36807</v>
      </c>
      <c r="E142" s="7" t="str">
        <f t="shared" si="4"/>
        <v>000300036807</v>
      </c>
      <c r="F142" s="7" t="str">
        <f t="shared" si="5"/>
        <v>33716870389000300036807</v>
      </c>
      <c r="G142" s="5">
        <v>75459283378129</v>
      </c>
      <c r="H142" s="1">
        <v>80</v>
      </c>
      <c r="I142" s="5">
        <v>33716870389</v>
      </c>
      <c r="J142" s="1" t="s">
        <v>899</v>
      </c>
      <c r="K142" s="5">
        <v>1</v>
      </c>
      <c r="L142" s="1" t="s">
        <v>168</v>
      </c>
      <c r="M142" s="1">
        <v>81369.600000000006</v>
      </c>
      <c r="N142" s="5">
        <v>0</v>
      </c>
      <c r="O142" s="5">
        <v>0</v>
      </c>
      <c r="P142" s="2">
        <v>0</v>
      </c>
      <c r="Q142" s="2">
        <v>17087.62</v>
      </c>
      <c r="R142" s="1">
        <v>98457.22</v>
      </c>
    </row>
    <row r="143" spans="1:18" x14ac:dyDescent="0.25">
      <c r="A143" s="1">
        <v>45971</v>
      </c>
      <c r="B143" s="1">
        <v>1</v>
      </c>
      <c r="C143" s="5">
        <v>2</v>
      </c>
      <c r="D143" s="5">
        <v>2585</v>
      </c>
      <c r="E143" s="7" t="str">
        <f t="shared" si="4"/>
        <v>000200002585</v>
      </c>
      <c r="F143" s="7" t="str">
        <f t="shared" si="5"/>
        <v>27201667645000200002585</v>
      </c>
      <c r="G143" s="5">
        <v>75455342674279</v>
      </c>
      <c r="H143" s="1">
        <v>80</v>
      </c>
      <c r="I143" s="5">
        <v>27201667645</v>
      </c>
      <c r="J143" s="1" t="s">
        <v>120</v>
      </c>
      <c r="K143" s="5">
        <v>1</v>
      </c>
      <c r="L143" s="1" t="s">
        <v>168</v>
      </c>
      <c r="M143" s="2">
        <v>0</v>
      </c>
      <c r="N143" s="5">
        <v>1287334.8</v>
      </c>
      <c r="O143" s="2">
        <v>0</v>
      </c>
      <c r="P143" s="5">
        <v>0</v>
      </c>
      <c r="Q143" s="2">
        <v>0</v>
      </c>
      <c r="R143" s="2">
        <v>1287334.8</v>
      </c>
    </row>
    <row r="144" spans="1:18" x14ac:dyDescent="0.25">
      <c r="A144" s="1">
        <v>45971</v>
      </c>
      <c r="B144" s="1">
        <v>1</v>
      </c>
      <c r="C144" s="5">
        <v>11</v>
      </c>
      <c r="D144" s="5">
        <v>74334</v>
      </c>
      <c r="E144" s="7" t="str">
        <f t="shared" si="4"/>
        <v>001100074334</v>
      </c>
      <c r="F144" s="7" t="str">
        <f t="shared" si="5"/>
        <v>30708739126001100074334</v>
      </c>
      <c r="G144" s="5">
        <v>75456356924447</v>
      </c>
      <c r="H144" s="1">
        <v>80</v>
      </c>
      <c r="I144" s="5">
        <v>30708739126</v>
      </c>
      <c r="J144" s="1" t="s">
        <v>900</v>
      </c>
      <c r="K144" s="5">
        <v>1</v>
      </c>
      <c r="L144" s="1" t="s">
        <v>168</v>
      </c>
      <c r="M144" s="1">
        <v>33057.85</v>
      </c>
      <c r="N144" s="5">
        <v>0</v>
      </c>
      <c r="O144" s="5">
        <v>0</v>
      </c>
      <c r="P144" s="5">
        <v>0</v>
      </c>
      <c r="Q144" s="2">
        <v>6942.15</v>
      </c>
      <c r="R144" s="2">
        <v>40000</v>
      </c>
    </row>
    <row r="145" spans="1:18" x14ac:dyDescent="0.25">
      <c r="A145" s="1">
        <v>45971</v>
      </c>
      <c r="B145" s="1">
        <v>1</v>
      </c>
      <c r="C145" s="5">
        <v>6</v>
      </c>
      <c r="D145" s="5">
        <v>27657</v>
      </c>
      <c r="E145" s="7" t="str">
        <f t="shared" si="4"/>
        <v>000600027657</v>
      </c>
      <c r="F145" s="7" t="str">
        <f t="shared" si="5"/>
        <v>20188232990000600027657</v>
      </c>
      <c r="G145" s="5">
        <v>75450391382045</v>
      </c>
      <c r="H145" s="1">
        <v>80</v>
      </c>
      <c r="I145" s="5">
        <v>20188232990</v>
      </c>
      <c r="J145" s="1" t="s">
        <v>55</v>
      </c>
      <c r="K145" s="5">
        <v>1</v>
      </c>
      <c r="L145" s="1" t="s">
        <v>168</v>
      </c>
      <c r="M145" s="1">
        <v>97357.14</v>
      </c>
      <c r="N145" s="5">
        <v>0</v>
      </c>
      <c r="O145" s="5">
        <v>0</v>
      </c>
      <c r="P145" s="5">
        <v>0</v>
      </c>
      <c r="Q145" s="2">
        <v>20445</v>
      </c>
      <c r="R145" s="2">
        <v>117802.14</v>
      </c>
    </row>
    <row r="146" spans="1:18" x14ac:dyDescent="0.25">
      <c r="A146" s="1">
        <v>45971</v>
      </c>
      <c r="B146" s="1">
        <v>1</v>
      </c>
      <c r="C146" s="5">
        <v>4</v>
      </c>
      <c r="D146" s="5">
        <v>5947</v>
      </c>
      <c r="E146" s="7" t="str">
        <f t="shared" si="4"/>
        <v>000400005947</v>
      </c>
      <c r="F146" s="7" t="str">
        <f t="shared" si="5"/>
        <v>20363989099000400005947</v>
      </c>
      <c r="G146" s="5">
        <v>75469740249381</v>
      </c>
      <c r="H146" s="1">
        <v>80</v>
      </c>
      <c r="I146" s="5">
        <v>20363989099</v>
      </c>
      <c r="J146" s="1" t="s">
        <v>895</v>
      </c>
      <c r="K146" s="5">
        <v>1</v>
      </c>
      <c r="L146" s="1" t="s">
        <v>168</v>
      </c>
      <c r="M146" s="2">
        <v>71752.070000000007</v>
      </c>
      <c r="N146" s="5">
        <v>0</v>
      </c>
      <c r="O146" s="5">
        <v>0</v>
      </c>
      <c r="P146" s="5">
        <v>0</v>
      </c>
      <c r="Q146" s="2">
        <v>15067.93</v>
      </c>
      <c r="R146" s="5">
        <v>86820</v>
      </c>
    </row>
    <row r="147" spans="1:18" x14ac:dyDescent="0.25">
      <c r="A147" s="1">
        <v>45971</v>
      </c>
      <c r="B147" s="1">
        <v>1</v>
      </c>
      <c r="C147" s="5">
        <v>2</v>
      </c>
      <c r="D147" s="5">
        <v>376</v>
      </c>
      <c r="E147" s="7" t="str">
        <f t="shared" si="4"/>
        <v>000200000376</v>
      </c>
      <c r="F147" s="7" t="str">
        <f t="shared" si="5"/>
        <v>20313376045000200000376</v>
      </c>
      <c r="G147" s="5">
        <v>75455314955641</v>
      </c>
      <c r="H147" s="1">
        <v>80</v>
      </c>
      <c r="I147" s="5">
        <v>20313376045</v>
      </c>
      <c r="J147" s="1" t="s">
        <v>277</v>
      </c>
      <c r="K147" s="5">
        <v>1</v>
      </c>
      <c r="L147" s="1" t="s">
        <v>168</v>
      </c>
      <c r="M147" s="5">
        <v>270000</v>
      </c>
      <c r="N147" s="5">
        <v>0</v>
      </c>
      <c r="O147" s="5">
        <v>0</v>
      </c>
      <c r="P147" s="5">
        <v>0</v>
      </c>
      <c r="Q147" s="5">
        <v>56700</v>
      </c>
      <c r="R147" s="5">
        <v>326700</v>
      </c>
    </row>
    <row r="148" spans="1:18" x14ac:dyDescent="0.25">
      <c r="A148" s="1">
        <v>45971</v>
      </c>
      <c r="B148" s="1">
        <v>1</v>
      </c>
      <c r="C148" s="5">
        <v>5</v>
      </c>
      <c r="D148" s="5">
        <v>503</v>
      </c>
      <c r="E148" s="7" t="str">
        <f t="shared" si="4"/>
        <v>000500000503</v>
      </c>
      <c r="F148" s="7" t="str">
        <f t="shared" si="5"/>
        <v>20177699889000500000503</v>
      </c>
      <c r="G148" s="5">
        <v>75459406805590</v>
      </c>
      <c r="H148" s="1">
        <v>80</v>
      </c>
      <c r="I148" s="5">
        <v>20177699889</v>
      </c>
      <c r="J148" s="1" t="s">
        <v>250</v>
      </c>
      <c r="K148" s="5">
        <v>1</v>
      </c>
      <c r="L148" s="1" t="s">
        <v>168</v>
      </c>
      <c r="M148" s="5">
        <v>36363.620000000003</v>
      </c>
      <c r="N148" s="5">
        <v>0</v>
      </c>
      <c r="O148" s="5">
        <v>0</v>
      </c>
      <c r="P148" s="5">
        <v>0</v>
      </c>
      <c r="Q148" s="5">
        <v>7636.36</v>
      </c>
      <c r="R148" s="5">
        <v>44000</v>
      </c>
    </row>
    <row r="149" spans="1:18" x14ac:dyDescent="0.25">
      <c r="A149" s="1">
        <v>45971</v>
      </c>
      <c r="B149" s="1">
        <v>1</v>
      </c>
      <c r="C149" s="5">
        <v>2</v>
      </c>
      <c r="D149" s="5">
        <v>7212</v>
      </c>
      <c r="E149" s="7" t="str">
        <f t="shared" si="4"/>
        <v>000200007212</v>
      </c>
      <c r="F149" s="7" t="str">
        <f t="shared" si="5"/>
        <v>27217310291000200007212</v>
      </c>
      <c r="G149" s="5">
        <v>75461593238794</v>
      </c>
      <c r="H149" s="1">
        <v>80</v>
      </c>
      <c r="I149" s="5">
        <v>27217310291</v>
      </c>
      <c r="J149" s="1" t="s">
        <v>590</v>
      </c>
      <c r="K149" s="5">
        <v>1</v>
      </c>
      <c r="L149" s="1" t="s">
        <v>168</v>
      </c>
      <c r="M149" s="5">
        <v>42900</v>
      </c>
      <c r="N149" s="5">
        <v>0</v>
      </c>
      <c r="O149" s="5">
        <v>0</v>
      </c>
      <c r="P149" s="5">
        <v>0</v>
      </c>
      <c r="Q149" s="5">
        <v>9009</v>
      </c>
      <c r="R149" s="1">
        <v>51909</v>
      </c>
    </row>
    <row r="150" spans="1:18" x14ac:dyDescent="0.25">
      <c r="A150" s="1">
        <v>45971</v>
      </c>
      <c r="B150" s="1">
        <v>1</v>
      </c>
      <c r="C150" s="5">
        <v>32</v>
      </c>
      <c r="D150" s="5">
        <v>254431</v>
      </c>
      <c r="E150" s="7" t="str">
        <f t="shared" si="4"/>
        <v>003200254431</v>
      </c>
      <c r="F150" s="7" t="str">
        <f t="shared" si="5"/>
        <v>30621181838003200254431</v>
      </c>
      <c r="G150" s="5">
        <v>75458346605337</v>
      </c>
      <c r="H150" s="1">
        <v>80</v>
      </c>
      <c r="I150" s="5">
        <v>30621181838</v>
      </c>
      <c r="J150" s="1" t="s">
        <v>180</v>
      </c>
      <c r="K150" s="5">
        <v>1</v>
      </c>
      <c r="L150" s="1" t="s">
        <v>168</v>
      </c>
      <c r="M150" s="5">
        <v>48686207.140000001</v>
      </c>
      <c r="N150" s="5"/>
      <c r="O150" s="5"/>
      <c r="P150" s="5">
        <v>608577.59</v>
      </c>
      <c r="Q150" s="5">
        <v>10224103.5</v>
      </c>
      <c r="R150" s="2">
        <v>59518888.219999999</v>
      </c>
    </row>
    <row r="151" spans="1:18" x14ac:dyDescent="0.25">
      <c r="A151" s="1">
        <v>45971</v>
      </c>
      <c r="B151" s="1">
        <v>1</v>
      </c>
      <c r="C151" s="5">
        <v>267</v>
      </c>
      <c r="D151" s="5">
        <v>906884</v>
      </c>
      <c r="E151" s="7" t="str">
        <f t="shared" si="4"/>
        <v>026700906884</v>
      </c>
      <c r="F151" s="7" t="str">
        <f t="shared" si="5"/>
        <v>30500529454026700906884</v>
      </c>
      <c r="G151" s="5">
        <v>75454479998210</v>
      </c>
      <c r="H151" s="1">
        <v>80</v>
      </c>
      <c r="I151" s="5">
        <v>30500529454</v>
      </c>
      <c r="J151" s="1" t="s">
        <v>309</v>
      </c>
      <c r="K151" s="5">
        <v>1</v>
      </c>
      <c r="L151" s="1" t="s">
        <v>168</v>
      </c>
      <c r="M151" s="2">
        <v>46503264.240000002</v>
      </c>
      <c r="N151" s="5">
        <v>0</v>
      </c>
      <c r="O151" s="5">
        <v>0</v>
      </c>
      <c r="P151" s="2">
        <v>2557679.52</v>
      </c>
      <c r="Q151" s="2">
        <v>9765685.4900000002</v>
      </c>
      <c r="R151" s="2">
        <v>58826629.289999999</v>
      </c>
    </row>
    <row r="152" spans="1:18" x14ac:dyDescent="0.25">
      <c r="A152" s="1">
        <v>45971</v>
      </c>
      <c r="B152" s="1">
        <v>1</v>
      </c>
      <c r="C152" s="5">
        <v>215</v>
      </c>
      <c r="D152" s="5">
        <v>100483</v>
      </c>
      <c r="E152" s="7" t="str">
        <f t="shared" si="4"/>
        <v>021500100483</v>
      </c>
      <c r="F152" s="7" t="str">
        <f t="shared" si="5"/>
        <v>30500529071021500100483</v>
      </c>
      <c r="G152" s="5">
        <v>35431670074949</v>
      </c>
      <c r="H152" s="1">
        <v>80</v>
      </c>
      <c r="I152" s="5">
        <v>30500529071</v>
      </c>
      <c r="J152" s="1" t="s">
        <v>179</v>
      </c>
      <c r="K152" s="5">
        <v>1</v>
      </c>
      <c r="L152" s="1" t="s">
        <v>168</v>
      </c>
      <c r="M152" s="1">
        <v>408227.67</v>
      </c>
      <c r="N152" s="5"/>
      <c r="O152" s="5"/>
      <c r="P152" s="5">
        <v>22452.52</v>
      </c>
      <c r="Q152" s="1">
        <v>85727.81</v>
      </c>
      <c r="R152" s="5">
        <v>516408.01</v>
      </c>
    </row>
    <row r="153" spans="1:18" x14ac:dyDescent="0.25">
      <c r="A153" s="1">
        <v>45971</v>
      </c>
      <c r="B153" s="1">
        <v>3</v>
      </c>
      <c r="C153" s="5">
        <v>32</v>
      </c>
      <c r="D153" s="5">
        <v>165238</v>
      </c>
      <c r="E153" s="7" t="str">
        <f t="shared" si="4"/>
        <v>003200165238</v>
      </c>
      <c r="F153" s="7" t="str">
        <f t="shared" si="5"/>
        <v>30621181838003200165238</v>
      </c>
      <c r="G153" s="5">
        <v>75458346604852</v>
      </c>
      <c r="H153" s="1">
        <v>80</v>
      </c>
      <c r="I153" s="5">
        <v>30621181838</v>
      </c>
      <c r="J153" s="1" t="s">
        <v>180</v>
      </c>
      <c r="K153" s="5">
        <v>1</v>
      </c>
      <c r="L153" s="1" t="s">
        <v>168</v>
      </c>
      <c r="M153" s="2">
        <v>38220761.670000002</v>
      </c>
      <c r="N153" s="5"/>
      <c r="O153" s="5"/>
      <c r="P153" s="5">
        <v>0</v>
      </c>
      <c r="Q153" s="2">
        <v>8026359.9500000002</v>
      </c>
      <c r="R153" s="5">
        <v>46247121.659999996</v>
      </c>
    </row>
    <row r="154" spans="1:18" x14ac:dyDescent="0.25">
      <c r="A154" s="1">
        <v>45971</v>
      </c>
      <c r="B154" s="1">
        <v>3</v>
      </c>
      <c r="C154" s="5">
        <v>32</v>
      </c>
      <c r="D154" s="5">
        <v>165239</v>
      </c>
      <c r="E154" s="7" t="str">
        <f t="shared" si="4"/>
        <v>003200165239</v>
      </c>
      <c r="F154" s="7" t="str">
        <f t="shared" si="5"/>
        <v>30621181838003200165239</v>
      </c>
      <c r="G154" s="5">
        <v>75458346637171</v>
      </c>
      <c r="H154" s="1">
        <v>80</v>
      </c>
      <c r="I154" s="5">
        <v>30621181838</v>
      </c>
      <c r="J154" s="1" t="s">
        <v>180</v>
      </c>
      <c r="K154" s="5">
        <v>1</v>
      </c>
      <c r="L154" s="1" t="s">
        <v>168</v>
      </c>
      <c r="M154" s="2">
        <v>18710842.379999999</v>
      </c>
      <c r="N154" s="5"/>
      <c r="O154" s="5"/>
      <c r="P154" s="5">
        <v>0</v>
      </c>
      <c r="Q154" s="2">
        <v>3929276.9</v>
      </c>
      <c r="R154" s="2">
        <v>22640119.289999999</v>
      </c>
    </row>
    <row r="155" spans="1:18" x14ac:dyDescent="0.25">
      <c r="A155" s="1">
        <v>45971</v>
      </c>
      <c r="B155" s="1">
        <v>3</v>
      </c>
      <c r="C155" s="5">
        <v>201</v>
      </c>
      <c r="D155" s="5">
        <v>270207</v>
      </c>
      <c r="E155" s="7" t="str">
        <f t="shared" si="4"/>
        <v>020100270207</v>
      </c>
      <c r="F155" s="7" t="str">
        <f t="shared" si="5"/>
        <v>30500529071020100270207</v>
      </c>
      <c r="G155" s="5">
        <v>35431670074949</v>
      </c>
      <c r="H155" s="1">
        <v>80</v>
      </c>
      <c r="I155" s="5">
        <v>30500529071</v>
      </c>
      <c r="J155" s="1" t="s">
        <v>179</v>
      </c>
      <c r="K155" s="5">
        <v>1</v>
      </c>
      <c r="L155" s="1" t="s">
        <v>168</v>
      </c>
      <c r="M155" s="2">
        <v>20411.38</v>
      </c>
      <c r="N155" s="5"/>
      <c r="O155" s="5"/>
      <c r="P155" s="5">
        <v>612.34</v>
      </c>
      <c r="Q155" s="2">
        <v>4286.3900000000003</v>
      </c>
      <c r="R155" s="2">
        <v>25310.11</v>
      </c>
    </row>
    <row r="156" spans="1:18" x14ac:dyDescent="0.25">
      <c r="A156" s="1">
        <v>45971</v>
      </c>
      <c r="B156" s="1">
        <v>11</v>
      </c>
      <c r="C156" s="5">
        <v>2</v>
      </c>
      <c r="D156" s="5">
        <v>532</v>
      </c>
      <c r="E156" s="7" t="str">
        <f t="shared" si="4"/>
        <v>000200000532</v>
      </c>
      <c r="F156" s="7" t="str">
        <f t="shared" si="5"/>
        <v>20264502919000200000532</v>
      </c>
      <c r="G156" s="5">
        <v>75459357482134</v>
      </c>
      <c r="H156" s="1">
        <v>80</v>
      </c>
      <c r="I156" s="5">
        <v>20264502919</v>
      </c>
      <c r="J156" s="1" t="s">
        <v>614</v>
      </c>
      <c r="K156" s="5">
        <v>1</v>
      </c>
      <c r="L156" s="1" t="s">
        <v>168</v>
      </c>
      <c r="M156" s="1">
        <v>0</v>
      </c>
      <c r="N156" s="2">
        <v>0</v>
      </c>
      <c r="O156" s="5">
        <v>0</v>
      </c>
      <c r="P156" s="5">
        <v>0</v>
      </c>
      <c r="Q156" s="2">
        <v>0</v>
      </c>
      <c r="R156" s="1">
        <v>3500</v>
      </c>
    </row>
    <row r="157" spans="1:18" x14ac:dyDescent="0.25">
      <c r="A157" s="1">
        <v>45971</v>
      </c>
      <c r="B157" s="1">
        <v>11</v>
      </c>
      <c r="C157" s="5">
        <v>1</v>
      </c>
      <c r="D157" s="5">
        <v>393</v>
      </c>
      <c r="E157" s="7" t="str">
        <f t="shared" si="4"/>
        <v>000100000393</v>
      </c>
      <c r="F157" s="7" t="str">
        <f t="shared" si="5"/>
        <v>20373299791000100000393</v>
      </c>
      <c r="G157" s="5">
        <v>75451329902405</v>
      </c>
      <c r="H157" s="1">
        <v>80</v>
      </c>
      <c r="I157" s="5">
        <v>20373299791</v>
      </c>
      <c r="J157" s="1" t="s">
        <v>611</v>
      </c>
      <c r="K157" s="5">
        <v>1</v>
      </c>
      <c r="L157" s="1" t="s">
        <v>168</v>
      </c>
      <c r="M157" s="2">
        <v>0</v>
      </c>
      <c r="N157" s="5">
        <v>0</v>
      </c>
      <c r="O157" s="5">
        <v>0</v>
      </c>
      <c r="P157" s="5">
        <v>0</v>
      </c>
      <c r="Q157" s="5">
        <v>0</v>
      </c>
      <c r="R157" s="2">
        <v>156250</v>
      </c>
    </row>
    <row r="158" spans="1:18" x14ac:dyDescent="0.25">
      <c r="A158" s="1">
        <v>45971</v>
      </c>
      <c r="B158" s="1">
        <v>11</v>
      </c>
      <c r="C158" s="5">
        <v>4</v>
      </c>
      <c r="D158" s="5">
        <v>1052</v>
      </c>
      <c r="E158" s="7" t="str">
        <f t="shared" si="4"/>
        <v>000400001052</v>
      </c>
      <c r="F158" s="7" t="str">
        <f t="shared" si="5"/>
        <v>20342251464000400001052</v>
      </c>
      <c r="G158" s="5">
        <v>75454314111395</v>
      </c>
      <c r="H158" s="1">
        <v>80</v>
      </c>
      <c r="I158" s="5">
        <v>20342251464</v>
      </c>
      <c r="J158" s="1" t="s">
        <v>96</v>
      </c>
      <c r="K158" s="5">
        <v>1</v>
      </c>
      <c r="L158" s="1" t="s">
        <v>168</v>
      </c>
      <c r="M158" s="2">
        <v>0</v>
      </c>
      <c r="N158" s="5">
        <v>0</v>
      </c>
      <c r="O158" s="5">
        <v>0</v>
      </c>
      <c r="P158" s="2">
        <v>0</v>
      </c>
      <c r="Q158" s="2">
        <v>0</v>
      </c>
      <c r="R158" s="2">
        <v>69400</v>
      </c>
    </row>
    <row r="159" spans="1:18" x14ac:dyDescent="0.25">
      <c r="A159" s="1">
        <v>45972</v>
      </c>
      <c r="B159" s="1">
        <v>1</v>
      </c>
      <c r="C159" s="5">
        <v>7</v>
      </c>
      <c r="D159" s="5">
        <v>1812</v>
      </c>
      <c r="E159" s="7" t="str">
        <f t="shared" si="4"/>
        <v>000700001812</v>
      </c>
      <c r="F159" s="7" t="str">
        <f t="shared" si="5"/>
        <v>30715476270000700001812</v>
      </c>
      <c r="G159" s="5">
        <v>75450480745047</v>
      </c>
      <c r="H159" s="1">
        <v>80</v>
      </c>
      <c r="I159" s="5">
        <v>30715476270</v>
      </c>
      <c r="J159" s="1" t="s">
        <v>901</v>
      </c>
      <c r="K159" s="5">
        <v>1</v>
      </c>
      <c r="L159" s="1" t="s">
        <v>168</v>
      </c>
      <c r="M159" s="5">
        <v>8429.75</v>
      </c>
      <c r="N159" s="5">
        <v>0</v>
      </c>
      <c r="O159" s="5">
        <v>0</v>
      </c>
      <c r="P159" s="5">
        <v>0</v>
      </c>
      <c r="Q159" s="5">
        <v>1770.24</v>
      </c>
      <c r="R159" s="5">
        <v>10199.99</v>
      </c>
    </row>
    <row r="160" spans="1:18" x14ac:dyDescent="0.25">
      <c r="A160" s="1">
        <v>45972</v>
      </c>
      <c r="B160" s="1">
        <v>1</v>
      </c>
      <c r="C160" s="5">
        <v>2</v>
      </c>
      <c r="D160" s="5">
        <v>18788</v>
      </c>
      <c r="E160" s="7" t="str">
        <f t="shared" si="4"/>
        <v>000200018788</v>
      </c>
      <c r="F160" s="7" t="str">
        <f t="shared" si="5"/>
        <v>30714379468000200018788</v>
      </c>
      <c r="G160" s="5">
        <v>75458419312401</v>
      </c>
      <c r="H160" s="1">
        <v>80</v>
      </c>
      <c r="I160" s="5">
        <v>30714379468</v>
      </c>
      <c r="J160" s="1" t="s">
        <v>220</v>
      </c>
      <c r="K160" s="5">
        <v>1</v>
      </c>
      <c r="L160" s="1" t="s">
        <v>168</v>
      </c>
      <c r="M160" s="1">
        <v>1529535.1</v>
      </c>
      <c r="N160" s="5">
        <v>0</v>
      </c>
      <c r="O160" s="5">
        <v>0</v>
      </c>
      <c r="P160" s="5">
        <v>0</v>
      </c>
      <c r="Q160" s="2">
        <v>321202.37</v>
      </c>
      <c r="R160" s="2">
        <v>1850737.47</v>
      </c>
    </row>
    <row r="161" spans="1:18" x14ac:dyDescent="0.25">
      <c r="A161" s="1">
        <v>45972</v>
      </c>
      <c r="B161" s="1">
        <v>1</v>
      </c>
      <c r="C161" s="5">
        <v>3</v>
      </c>
      <c r="D161" s="5">
        <v>1053</v>
      </c>
      <c r="E161" s="7" t="str">
        <f t="shared" si="4"/>
        <v>000300001053</v>
      </c>
      <c r="F161" s="7" t="str">
        <f t="shared" si="5"/>
        <v>30718373332000300001053</v>
      </c>
      <c r="G161" s="5">
        <v>75452460398828</v>
      </c>
      <c r="H161" s="1">
        <v>80</v>
      </c>
      <c r="I161" s="5">
        <v>30718373332</v>
      </c>
      <c r="J161" s="1" t="s">
        <v>282</v>
      </c>
      <c r="K161" s="5">
        <v>1</v>
      </c>
      <c r="L161" s="1" t="s">
        <v>168</v>
      </c>
      <c r="M161" s="5">
        <v>90842.98</v>
      </c>
      <c r="N161" s="5">
        <v>0</v>
      </c>
      <c r="O161" s="5">
        <v>0</v>
      </c>
      <c r="P161" s="5">
        <v>0</v>
      </c>
      <c r="Q161" s="1">
        <v>19077.03</v>
      </c>
      <c r="R161" s="1">
        <v>109920.01</v>
      </c>
    </row>
    <row r="162" spans="1:18" x14ac:dyDescent="0.25">
      <c r="A162" s="1">
        <v>45972</v>
      </c>
      <c r="B162" s="1">
        <v>1</v>
      </c>
      <c r="C162" s="5">
        <v>5</v>
      </c>
      <c r="D162" s="5">
        <v>3753</v>
      </c>
      <c r="E162" s="7" t="str">
        <f t="shared" si="4"/>
        <v>000500003753</v>
      </c>
      <c r="F162" s="7" t="str">
        <f t="shared" si="5"/>
        <v>23222803039000500003753</v>
      </c>
      <c r="G162" s="5">
        <v>75459463687756</v>
      </c>
      <c r="H162" s="1">
        <v>80</v>
      </c>
      <c r="I162" s="5">
        <v>23222803039</v>
      </c>
      <c r="J162" s="1" t="s">
        <v>199</v>
      </c>
      <c r="K162" s="5">
        <v>1</v>
      </c>
      <c r="L162" s="1" t="s">
        <v>168</v>
      </c>
      <c r="M162" s="5">
        <v>132775.12</v>
      </c>
      <c r="N162" s="5">
        <v>0</v>
      </c>
      <c r="O162" s="5">
        <v>0</v>
      </c>
      <c r="P162" s="5">
        <v>0</v>
      </c>
      <c r="Q162" s="5">
        <v>27882.78</v>
      </c>
      <c r="R162" s="5">
        <v>160657.9</v>
      </c>
    </row>
    <row r="163" spans="1:18" x14ac:dyDescent="0.25">
      <c r="A163" s="1">
        <v>45972</v>
      </c>
      <c r="B163" s="1">
        <v>1</v>
      </c>
      <c r="C163" s="5">
        <v>9</v>
      </c>
      <c r="D163" s="5">
        <v>4096</v>
      </c>
      <c r="E163" s="7" t="str">
        <f t="shared" si="4"/>
        <v>000900004096</v>
      </c>
      <c r="F163" s="7" t="str">
        <f t="shared" si="5"/>
        <v>30617472615000900004096</v>
      </c>
      <c r="G163" s="5">
        <v>75455475720740</v>
      </c>
      <c r="H163" s="1">
        <v>80</v>
      </c>
      <c r="I163" s="5">
        <v>30617472615</v>
      </c>
      <c r="J163" s="1" t="s">
        <v>203</v>
      </c>
      <c r="K163" s="5">
        <v>1</v>
      </c>
      <c r="L163" s="1" t="s">
        <v>168</v>
      </c>
      <c r="M163" s="2">
        <v>6604346.2400000002</v>
      </c>
      <c r="N163" s="5">
        <v>0</v>
      </c>
      <c r="O163" s="5">
        <v>0</v>
      </c>
      <c r="P163" s="2">
        <v>0</v>
      </c>
      <c r="Q163" s="2">
        <v>1386912.71</v>
      </c>
      <c r="R163" s="2">
        <v>7991258.9500000002</v>
      </c>
    </row>
    <row r="164" spans="1:18" x14ac:dyDescent="0.25">
      <c r="A164" s="1">
        <v>45972</v>
      </c>
      <c r="B164" s="1">
        <v>1</v>
      </c>
      <c r="C164" s="5">
        <v>3</v>
      </c>
      <c r="D164" s="5">
        <v>3869</v>
      </c>
      <c r="E164" s="7" t="str">
        <f t="shared" si="4"/>
        <v>000300003869</v>
      </c>
      <c r="F164" s="7" t="str">
        <f t="shared" si="5"/>
        <v>20249710084000300003869</v>
      </c>
      <c r="G164" s="5">
        <v>75454455319884</v>
      </c>
      <c r="H164" s="1">
        <v>80</v>
      </c>
      <c r="I164" s="5">
        <v>20249710084</v>
      </c>
      <c r="J164" s="1" t="s">
        <v>902</v>
      </c>
      <c r="K164" s="5">
        <v>1</v>
      </c>
      <c r="L164" s="1" t="s">
        <v>168</v>
      </c>
      <c r="M164" s="2">
        <v>280508.25</v>
      </c>
      <c r="N164" s="1">
        <v>0</v>
      </c>
      <c r="O164" s="1">
        <v>0</v>
      </c>
      <c r="P164" s="5">
        <v>0</v>
      </c>
      <c r="Q164" s="2">
        <v>58906.73</v>
      </c>
      <c r="R164" s="2">
        <v>339414.98</v>
      </c>
    </row>
    <row r="165" spans="1:18" x14ac:dyDescent="0.25">
      <c r="A165" s="1">
        <v>45972</v>
      </c>
      <c r="B165" s="1">
        <v>1</v>
      </c>
      <c r="C165" s="5">
        <v>18</v>
      </c>
      <c r="D165" s="5">
        <v>9360</v>
      </c>
      <c r="E165" s="7" t="str">
        <f t="shared" si="4"/>
        <v>001800009360</v>
      </c>
      <c r="F165" s="7" t="str">
        <f t="shared" si="5"/>
        <v>30601652044001800009360</v>
      </c>
      <c r="G165" s="5">
        <v>75454435011089</v>
      </c>
      <c r="H165" s="1">
        <v>80</v>
      </c>
      <c r="I165" s="5">
        <v>30601652044</v>
      </c>
      <c r="J165" s="1" t="s">
        <v>92</v>
      </c>
      <c r="K165" s="5">
        <v>1</v>
      </c>
      <c r="L165" s="1" t="s">
        <v>168</v>
      </c>
      <c r="M165" s="2">
        <v>58873.98</v>
      </c>
      <c r="N165" s="5">
        <v>0</v>
      </c>
      <c r="O165" s="5">
        <v>0</v>
      </c>
      <c r="P165" s="1">
        <v>0</v>
      </c>
      <c r="Q165" s="5">
        <v>12363.53</v>
      </c>
      <c r="R165" s="2">
        <v>71237.509999999995</v>
      </c>
    </row>
    <row r="166" spans="1:18" x14ac:dyDescent="0.25">
      <c r="A166" s="1">
        <v>45972</v>
      </c>
      <c r="B166" s="1">
        <v>1</v>
      </c>
      <c r="C166" s="5">
        <v>5</v>
      </c>
      <c r="D166" s="5">
        <v>3754</v>
      </c>
      <c r="E166" s="7" t="str">
        <f t="shared" si="4"/>
        <v>000500003754</v>
      </c>
      <c r="F166" s="7" t="str">
        <f t="shared" si="5"/>
        <v>23222803039000500003754</v>
      </c>
      <c r="G166" s="5">
        <v>75459464495149</v>
      </c>
      <c r="H166" s="1">
        <v>80</v>
      </c>
      <c r="I166" s="5">
        <v>23222803039</v>
      </c>
      <c r="J166" s="1" t="s">
        <v>199</v>
      </c>
      <c r="K166" s="5">
        <v>1</v>
      </c>
      <c r="L166" s="1" t="s">
        <v>168</v>
      </c>
      <c r="M166" s="2">
        <v>62929.67</v>
      </c>
      <c r="N166" s="5">
        <v>0</v>
      </c>
      <c r="O166" s="5">
        <v>0</v>
      </c>
      <c r="P166" s="2">
        <v>0</v>
      </c>
      <c r="Q166" s="2">
        <v>13215.23</v>
      </c>
      <c r="R166" s="2">
        <v>76144.899999999994</v>
      </c>
    </row>
    <row r="167" spans="1:18" x14ac:dyDescent="0.25">
      <c r="A167" s="1">
        <v>45972</v>
      </c>
      <c r="B167" s="1">
        <v>1</v>
      </c>
      <c r="C167" s="5">
        <v>23</v>
      </c>
      <c r="D167" s="5">
        <v>42857</v>
      </c>
      <c r="E167" s="7" t="str">
        <f t="shared" si="4"/>
        <v>002300042857</v>
      </c>
      <c r="F167" s="7" t="str">
        <f t="shared" si="5"/>
        <v>30543035064002300042857</v>
      </c>
      <c r="G167" s="5">
        <v>75454418324314</v>
      </c>
      <c r="H167" s="1">
        <v>80</v>
      </c>
      <c r="I167" s="5">
        <v>30543035064</v>
      </c>
      <c r="J167" s="1" t="s">
        <v>893</v>
      </c>
      <c r="K167" s="5">
        <v>1</v>
      </c>
      <c r="L167" s="1" t="s">
        <v>168</v>
      </c>
      <c r="M167" s="2">
        <v>87355.25</v>
      </c>
      <c r="N167" s="5">
        <v>0</v>
      </c>
      <c r="O167" s="5">
        <v>0</v>
      </c>
      <c r="P167" s="2">
        <v>14300.08</v>
      </c>
      <c r="Q167" s="2">
        <v>18344.599999999999</v>
      </c>
      <c r="R167" s="2">
        <v>119999.93</v>
      </c>
    </row>
    <row r="168" spans="1:18" x14ac:dyDescent="0.25">
      <c r="A168" s="1">
        <v>45972</v>
      </c>
      <c r="B168" s="1">
        <v>1</v>
      </c>
      <c r="C168" s="5">
        <v>3</v>
      </c>
      <c r="D168" s="5">
        <v>126</v>
      </c>
      <c r="E168" s="7" t="str">
        <f t="shared" si="4"/>
        <v>000300000126</v>
      </c>
      <c r="F168" s="7" t="str">
        <f t="shared" si="5"/>
        <v>30717903524000300000126</v>
      </c>
      <c r="G168" s="5">
        <v>75454423756648</v>
      </c>
      <c r="H168" s="1">
        <v>80</v>
      </c>
      <c r="I168" s="5">
        <v>30717903524</v>
      </c>
      <c r="J168" s="1" t="s">
        <v>892</v>
      </c>
      <c r="K168" s="5">
        <v>1</v>
      </c>
      <c r="L168" s="1" t="s">
        <v>168</v>
      </c>
      <c r="M168" s="2">
        <v>11404.96</v>
      </c>
      <c r="N168" s="5">
        <v>0</v>
      </c>
      <c r="O168" s="5">
        <v>0</v>
      </c>
      <c r="P168" s="1">
        <v>0</v>
      </c>
      <c r="Q168" s="2">
        <v>2395.04</v>
      </c>
      <c r="R168" s="2">
        <v>13800</v>
      </c>
    </row>
    <row r="169" spans="1:18" x14ac:dyDescent="0.25">
      <c r="A169" s="1">
        <v>45972</v>
      </c>
      <c r="B169" s="1">
        <v>1</v>
      </c>
      <c r="C169" s="5">
        <v>4</v>
      </c>
      <c r="D169" s="5">
        <v>41036</v>
      </c>
      <c r="E169" s="7" t="str">
        <f t="shared" si="4"/>
        <v>000400041036</v>
      </c>
      <c r="F169" s="7" t="str">
        <f t="shared" si="5"/>
        <v>33531994189000400041036</v>
      </c>
      <c r="G169" s="5">
        <v>75459459374360</v>
      </c>
      <c r="H169" s="1">
        <v>80</v>
      </c>
      <c r="I169" s="5">
        <v>33531994189</v>
      </c>
      <c r="J169" s="1" t="s">
        <v>195</v>
      </c>
      <c r="K169" s="5">
        <v>1</v>
      </c>
      <c r="L169" s="1" t="s">
        <v>168</v>
      </c>
      <c r="M169" s="1">
        <v>1134931.8600000001</v>
      </c>
      <c r="N169" s="5">
        <v>0</v>
      </c>
      <c r="O169" s="5">
        <v>32000</v>
      </c>
      <c r="P169" s="2">
        <v>0</v>
      </c>
      <c r="Q169" s="2">
        <v>238335.69</v>
      </c>
      <c r="R169" s="2">
        <v>1405267.55</v>
      </c>
    </row>
    <row r="170" spans="1:18" x14ac:dyDescent="0.25">
      <c r="A170" s="1">
        <v>45972</v>
      </c>
      <c r="B170" s="1">
        <v>1</v>
      </c>
      <c r="C170" s="5">
        <v>2</v>
      </c>
      <c r="D170" s="5">
        <v>10372</v>
      </c>
      <c r="E170" s="7" t="str">
        <f t="shared" si="4"/>
        <v>000200010372</v>
      </c>
      <c r="F170" s="7" t="str">
        <f t="shared" si="5"/>
        <v>30642674567000200010372</v>
      </c>
      <c r="G170" s="5">
        <v>75467577029915</v>
      </c>
      <c r="H170" s="1">
        <v>80</v>
      </c>
      <c r="I170" s="5">
        <v>30642674567</v>
      </c>
      <c r="J170" s="1" t="s">
        <v>184</v>
      </c>
      <c r="K170" s="5">
        <v>1</v>
      </c>
      <c r="L170" s="1" t="s">
        <v>168</v>
      </c>
      <c r="M170" s="5">
        <v>90185.14</v>
      </c>
      <c r="N170" s="5">
        <v>0</v>
      </c>
      <c r="O170" s="5">
        <v>0</v>
      </c>
      <c r="P170" s="2">
        <v>0</v>
      </c>
      <c r="Q170" s="2">
        <v>18938.88</v>
      </c>
      <c r="R170" s="1">
        <v>109124.02</v>
      </c>
    </row>
    <row r="171" spans="1:18" x14ac:dyDescent="0.25">
      <c r="A171" s="1">
        <v>45972</v>
      </c>
      <c r="B171" s="1">
        <v>1</v>
      </c>
      <c r="C171" s="5">
        <v>2</v>
      </c>
      <c r="D171" s="5">
        <v>10375</v>
      </c>
      <c r="E171" s="7" t="str">
        <f t="shared" si="4"/>
        <v>000200010375</v>
      </c>
      <c r="F171" s="7" t="str">
        <f t="shared" si="5"/>
        <v>30642674567000200010375</v>
      </c>
      <c r="G171" s="5">
        <v>75467579727338</v>
      </c>
      <c r="H171" s="1">
        <v>80</v>
      </c>
      <c r="I171" s="5">
        <v>30642674567</v>
      </c>
      <c r="J171" s="1" t="s">
        <v>184</v>
      </c>
      <c r="K171" s="5">
        <v>1</v>
      </c>
      <c r="L171" s="1" t="s">
        <v>168</v>
      </c>
      <c r="M171" s="1">
        <v>32148.82</v>
      </c>
      <c r="N171" s="1">
        <v>0</v>
      </c>
      <c r="O171" s="1">
        <v>0</v>
      </c>
      <c r="P171" s="5">
        <v>0</v>
      </c>
      <c r="Q171" s="1">
        <v>6751.25</v>
      </c>
      <c r="R171" s="5">
        <v>38900.07</v>
      </c>
    </row>
    <row r="172" spans="1:18" x14ac:dyDescent="0.25">
      <c r="A172" s="1">
        <v>45972</v>
      </c>
      <c r="B172" s="1">
        <v>1</v>
      </c>
      <c r="C172" s="5">
        <v>2</v>
      </c>
      <c r="D172" s="5">
        <v>10373</v>
      </c>
      <c r="E172" s="7" t="str">
        <f t="shared" si="4"/>
        <v>000200010373</v>
      </c>
      <c r="F172" s="7" t="str">
        <f t="shared" si="5"/>
        <v>30642674567000200010373</v>
      </c>
      <c r="G172" s="5">
        <v>75467578703167</v>
      </c>
      <c r="H172" s="1">
        <v>80</v>
      </c>
      <c r="I172" s="5">
        <v>30642674567</v>
      </c>
      <c r="J172" s="1" t="s">
        <v>184</v>
      </c>
      <c r="K172" s="5">
        <v>1</v>
      </c>
      <c r="L172" s="1" t="s">
        <v>168</v>
      </c>
      <c r="M172" s="1">
        <v>141807.07</v>
      </c>
      <c r="N172" s="1">
        <v>0</v>
      </c>
      <c r="O172" s="1">
        <v>0</v>
      </c>
      <c r="P172" s="5">
        <v>0</v>
      </c>
      <c r="Q172" s="1">
        <v>29779.48</v>
      </c>
      <c r="R172" s="5">
        <v>171586.55</v>
      </c>
    </row>
    <row r="173" spans="1:18" x14ac:dyDescent="0.25">
      <c r="A173" s="1">
        <v>45972</v>
      </c>
      <c r="B173" s="1">
        <v>1</v>
      </c>
      <c r="C173" s="5">
        <v>2</v>
      </c>
      <c r="D173" s="5">
        <v>10371</v>
      </c>
      <c r="E173" s="7" t="str">
        <f t="shared" si="4"/>
        <v>000200010371</v>
      </c>
      <c r="F173" s="7" t="str">
        <f t="shared" si="5"/>
        <v>30642674567000200010371</v>
      </c>
      <c r="G173" s="5">
        <v>75467576229235</v>
      </c>
      <c r="H173" s="1">
        <v>80</v>
      </c>
      <c r="I173" s="5">
        <v>30642674567</v>
      </c>
      <c r="J173" s="1" t="s">
        <v>184</v>
      </c>
      <c r="K173" s="5">
        <v>1</v>
      </c>
      <c r="L173" s="1" t="s">
        <v>168</v>
      </c>
      <c r="M173" s="1">
        <v>597806.62</v>
      </c>
      <c r="N173" s="1">
        <v>0</v>
      </c>
      <c r="O173" s="1">
        <v>0</v>
      </c>
      <c r="P173" s="5">
        <v>0</v>
      </c>
      <c r="Q173" s="1">
        <v>125539.39</v>
      </c>
      <c r="R173" s="5">
        <v>723346.01</v>
      </c>
    </row>
    <row r="174" spans="1:18" x14ac:dyDescent="0.25">
      <c r="A174" s="1">
        <v>45972</v>
      </c>
      <c r="B174" s="1">
        <v>1</v>
      </c>
      <c r="C174" s="5">
        <v>3</v>
      </c>
      <c r="D174" s="5">
        <v>272</v>
      </c>
      <c r="E174" s="7" t="str">
        <f t="shared" si="4"/>
        <v>000300000272</v>
      </c>
      <c r="F174" s="7" t="str">
        <f t="shared" si="5"/>
        <v>27058643063000300000272</v>
      </c>
      <c r="G174" s="5">
        <v>75453502155742</v>
      </c>
      <c r="H174" s="1">
        <v>80</v>
      </c>
      <c r="I174" s="5">
        <v>27058643063</v>
      </c>
      <c r="J174" s="1" t="s">
        <v>90</v>
      </c>
      <c r="K174" s="5">
        <v>1</v>
      </c>
      <c r="L174" s="1" t="s">
        <v>168</v>
      </c>
      <c r="M174" s="2">
        <v>80000</v>
      </c>
      <c r="N174" s="5">
        <v>0</v>
      </c>
      <c r="O174" s="5">
        <v>0</v>
      </c>
      <c r="P174" s="5">
        <v>0</v>
      </c>
      <c r="Q174" s="1">
        <v>16800</v>
      </c>
      <c r="R174" s="2">
        <v>96800</v>
      </c>
    </row>
    <row r="175" spans="1:18" x14ac:dyDescent="0.25">
      <c r="A175" s="1">
        <v>45972</v>
      </c>
      <c r="B175" s="1">
        <v>1</v>
      </c>
      <c r="C175" s="5">
        <v>4</v>
      </c>
      <c r="D175" s="5">
        <v>2708</v>
      </c>
      <c r="E175" s="7" t="str">
        <f t="shared" si="4"/>
        <v>000400002708</v>
      </c>
      <c r="F175" s="7" t="str">
        <f t="shared" si="5"/>
        <v>24275905050000400002708</v>
      </c>
      <c r="G175" s="5">
        <v>75450543789294</v>
      </c>
      <c r="H175" s="1">
        <v>80</v>
      </c>
      <c r="I175" s="5">
        <v>24275905050</v>
      </c>
      <c r="J175" s="1" t="s">
        <v>886</v>
      </c>
      <c r="K175" s="5">
        <v>1</v>
      </c>
      <c r="L175" s="1" t="s">
        <v>168</v>
      </c>
      <c r="M175" s="2">
        <v>34710.76</v>
      </c>
      <c r="N175" s="5">
        <v>0</v>
      </c>
      <c r="O175" s="5">
        <v>0</v>
      </c>
      <c r="P175" s="5">
        <v>0</v>
      </c>
      <c r="Q175" s="2">
        <v>7289.26</v>
      </c>
      <c r="R175" s="5">
        <v>42000</v>
      </c>
    </row>
    <row r="176" spans="1:18" x14ac:dyDescent="0.25">
      <c r="A176" s="1">
        <v>45972</v>
      </c>
      <c r="B176" s="1">
        <v>1</v>
      </c>
      <c r="C176" s="5">
        <v>6</v>
      </c>
      <c r="D176" s="5">
        <v>485</v>
      </c>
      <c r="E176" s="7" t="str">
        <f t="shared" si="4"/>
        <v>000600000485</v>
      </c>
      <c r="F176" s="7" t="str">
        <f t="shared" si="5"/>
        <v>27250355276000600000485</v>
      </c>
      <c r="G176" s="5">
        <v>75456520595532</v>
      </c>
      <c r="H176" s="1">
        <v>80</v>
      </c>
      <c r="I176" s="5">
        <v>27250355276</v>
      </c>
      <c r="J176" s="1" t="s">
        <v>632</v>
      </c>
      <c r="K176" s="5">
        <v>1</v>
      </c>
      <c r="L176" s="1" t="s">
        <v>168</v>
      </c>
      <c r="M176" s="1">
        <v>40000</v>
      </c>
      <c r="N176" s="5">
        <v>0</v>
      </c>
      <c r="O176" s="5">
        <v>0</v>
      </c>
      <c r="P176" s="5">
        <v>0</v>
      </c>
      <c r="Q176" s="2">
        <v>8400</v>
      </c>
      <c r="R176" s="2">
        <v>48400</v>
      </c>
    </row>
    <row r="177" spans="1:18" x14ac:dyDescent="0.25">
      <c r="A177" s="1">
        <v>45972</v>
      </c>
      <c r="B177" s="1">
        <v>1</v>
      </c>
      <c r="C177" s="5">
        <v>267</v>
      </c>
      <c r="D177" s="5">
        <v>907097</v>
      </c>
      <c r="E177" s="7" t="str">
        <f t="shared" si="4"/>
        <v>026700907097</v>
      </c>
      <c r="F177" s="7" t="str">
        <f t="shared" si="5"/>
        <v>30500529454026700907097</v>
      </c>
      <c r="G177" s="5">
        <v>75464572281449</v>
      </c>
      <c r="H177" s="1">
        <v>80</v>
      </c>
      <c r="I177" s="5">
        <v>30500529454</v>
      </c>
      <c r="J177" s="1" t="s">
        <v>309</v>
      </c>
      <c r="K177" s="5">
        <v>1</v>
      </c>
      <c r="L177" s="1" t="s">
        <v>168</v>
      </c>
      <c r="M177" s="1">
        <v>217481.95</v>
      </c>
      <c r="N177" s="5">
        <v>0</v>
      </c>
      <c r="O177" s="5">
        <v>0</v>
      </c>
      <c r="P177" s="5">
        <v>11961.51</v>
      </c>
      <c r="Q177" s="1">
        <v>45671.21</v>
      </c>
      <c r="R177" s="5">
        <v>275114.67</v>
      </c>
    </row>
    <row r="178" spans="1:18" x14ac:dyDescent="0.25">
      <c r="A178" s="1">
        <v>45972</v>
      </c>
      <c r="B178" s="1">
        <v>2</v>
      </c>
      <c r="C178" s="5">
        <v>27</v>
      </c>
      <c r="D178" s="5">
        <v>185</v>
      </c>
      <c r="E178" s="7" t="str">
        <f t="shared" si="4"/>
        <v>002700000185</v>
      </c>
      <c r="F178" s="7" t="str">
        <f t="shared" si="5"/>
        <v>33708336969002700000185</v>
      </c>
      <c r="G178" s="5">
        <v>75459456880743</v>
      </c>
      <c r="H178" s="1">
        <v>80</v>
      </c>
      <c r="I178" s="5">
        <v>33708336969</v>
      </c>
      <c r="J178" s="1" t="s">
        <v>191</v>
      </c>
      <c r="K178" s="5">
        <v>1</v>
      </c>
      <c r="L178" s="1" t="s">
        <v>168</v>
      </c>
      <c r="M178" s="5">
        <v>18500</v>
      </c>
      <c r="N178" s="2">
        <v>0</v>
      </c>
      <c r="O178" s="5">
        <v>0</v>
      </c>
      <c r="P178" s="5">
        <v>0</v>
      </c>
      <c r="Q178" s="5">
        <v>3885</v>
      </c>
      <c r="R178" s="2">
        <v>22385</v>
      </c>
    </row>
    <row r="179" spans="1:18" x14ac:dyDescent="0.25">
      <c r="A179" s="1">
        <v>45972</v>
      </c>
      <c r="B179" s="1">
        <v>3</v>
      </c>
      <c r="C179" s="5">
        <v>13</v>
      </c>
      <c r="D179" s="5">
        <v>270</v>
      </c>
      <c r="E179" s="7" t="str">
        <f t="shared" si="4"/>
        <v>001300000270</v>
      </c>
      <c r="F179" s="7" t="str">
        <f t="shared" si="5"/>
        <v>30707843094001300000270</v>
      </c>
      <c r="G179" s="5">
        <v>75454451527500</v>
      </c>
      <c r="H179" s="1">
        <v>80</v>
      </c>
      <c r="I179" s="5">
        <v>30707843094</v>
      </c>
      <c r="J179" s="1" t="s">
        <v>326</v>
      </c>
      <c r="K179" s="5">
        <v>1</v>
      </c>
      <c r="L179" s="1" t="s">
        <v>168</v>
      </c>
      <c r="M179" s="2">
        <v>10991.74</v>
      </c>
      <c r="N179" s="5">
        <v>0</v>
      </c>
      <c r="O179" s="5">
        <v>0</v>
      </c>
      <c r="P179" s="2">
        <v>0</v>
      </c>
      <c r="Q179" s="2">
        <v>2308.2600000000002</v>
      </c>
      <c r="R179" s="2">
        <v>13300</v>
      </c>
    </row>
    <row r="180" spans="1:18" x14ac:dyDescent="0.25">
      <c r="A180" s="1">
        <v>45972</v>
      </c>
      <c r="B180" s="1">
        <v>3</v>
      </c>
      <c r="C180" s="5">
        <v>14</v>
      </c>
      <c r="D180" s="5">
        <v>12898</v>
      </c>
      <c r="E180" s="7" t="str">
        <f t="shared" si="4"/>
        <v>001400012898</v>
      </c>
      <c r="F180" s="7" t="str">
        <f t="shared" si="5"/>
        <v>30523412236001400012898</v>
      </c>
      <c r="G180" s="5">
        <v>75456451679327</v>
      </c>
      <c r="H180" s="1">
        <v>80</v>
      </c>
      <c r="I180" s="5">
        <v>30523412236</v>
      </c>
      <c r="J180" s="1" t="s">
        <v>213</v>
      </c>
      <c r="K180" s="5">
        <v>1</v>
      </c>
      <c r="L180" s="1" t="s">
        <v>168</v>
      </c>
      <c r="M180" s="1">
        <v>52265.919999999998</v>
      </c>
      <c r="N180" s="5">
        <v>0</v>
      </c>
      <c r="O180" s="5">
        <v>0</v>
      </c>
      <c r="P180" s="5">
        <v>0</v>
      </c>
      <c r="Q180" s="2">
        <v>10975.84</v>
      </c>
      <c r="R180" s="2">
        <v>63241.760000000002</v>
      </c>
    </row>
    <row r="181" spans="1:18" x14ac:dyDescent="0.25">
      <c r="A181" s="1">
        <v>45972</v>
      </c>
      <c r="B181" s="1">
        <v>3</v>
      </c>
      <c r="C181" s="5">
        <v>14</v>
      </c>
      <c r="D181" s="5">
        <v>12899</v>
      </c>
      <c r="E181" s="7" t="str">
        <f t="shared" si="4"/>
        <v>001400012899</v>
      </c>
      <c r="F181" s="7" t="str">
        <f t="shared" si="5"/>
        <v>30523412236001400012899</v>
      </c>
      <c r="G181" s="5">
        <v>75456451965151</v>
      </c>
      <c r="H181" s="1">
        <v>80</v>
      </c>
      <c r="I181" s="5">
        <v>30523412236</v>
      </c>
      <c r="J181" s="1" t="s">
        <v>213</v>
      </c>
      <c r="K181" s="5">
        <v>1</v>
      </c>
      <c r="L181" s="1" t="s">
        <v>168</v>
      </c>
      <c r="M181" s="2">
        <v>474125.17</v>
      </c>
      <c r="N181" s="5">
        <v>0</v>
      </c>
      <c r="O181" s="5">
        <v>0</v>
      </c>
      <c r="P181" s="5">
        <v>0</v>
      </c>
      <c r="Q181" s="2">
        <v>99566.29</v>
      </c>
      <c r="R181" s="2">
        <v>573691.46</v>
      </c>
    </row>
    <row r="182" spans="1:18" x14ac:dyDescent="0.25">
      <c r="A182" s="1">
        <v>45972</v>
      </c>
      <c r="B182" s="1">
        <v>3</v>
      </c>
      <c r="C182" s="5">
        <v>2</v>
      </c>
      <c r="D182" s="5">
        <v>1447</v>
      </c>
      <c r="E182" s="7" t="str">
        <f t="shared" si="4"/>
        <v>000200001447</v>
      </c>
      <c r="F182" s="7" t="str">
        <f t="shared" si="5"/>
        <v>30714379468000200001447</v>
      </c>
      <c r="G182" s="5">
        <v>75458478718349</v>
      </c>
      <c r="H182" s="1">
        <v>80</v>
      </c>
      <c r="I182" s="5">
        <v>30714379468</v>
      </c>
      <c r="J182" s="1" t="s">
        <v>220</v>
      </c>
      <c r="K182" s="5">
        <v>1</v>
      </c>
      <c r="L182" s="1" t="s">
        <v>168</v>
      </c>
      <c r="M182" s="2">
        <v>240606.5</v>
      </c>
      <c r="N182" s="5">
        <v>0</v>
      </c>
      <c r="O182" s="5">
        <v>0</v>
      </c>
      <c r="P182" s="5">
        <v>0</v>
      </c>
      <c r="Q182" s="2">
        <v>50527.37</v>
      </c>
      <c r="R182" s="2">
        <v>291133.87</v>
      </c>
    </row>
    <row r="183" spans="1:18" x14ac:dyDescent="0.25">
      <c r="A183" s="1">
        <v>45972</v>
      </c>
      <c r="B183" s="1">
        <v>3</v>
      </c>
      <c r="C183" s="5">
        <v>8</v>
      </c>
      <c r="D183" s="5">
        <v>25004</v>
      </c>
      <c r="E183" s="7" t="str">
        <f t="shared" si="4"/>
        <v>000800025004</v>
      </c>
      <c r="F183" s="7" t="str">
        <f t="shared" si="5"/>
        <v>30536184054000800025004</v>
      </c>
      <c r="G183" s="5">
        <v>75454429911243</v>
      </c>
      <c r="H183" s="1">
        <v>80</v>
      </c>
      <c r="I183" s="5">
        <v>30536184054</v>
      </c>
      <c r="J183" s="1" t="s">
        <v>186</v>
      </c>
      <c r="K183" s="5">
        <v>1</v>
      </c>
      <c r="L183" s="1" t="s">
        <v>168</v>
      </c>
      <c r="M183" s="1">
        <v>30367.360000000001</v>
      </c>
      <c r="N183" s="5">
        <v>0</v>
      </c>
      <c r="O183" s="5">
        <v>0</v>
      </c>
      <c r="P183" s="5">
        <v>0</v>
      </c>
      <c r="Q183" s="2">
        <v>6377.15</v>
      </c>
      <c r="R183" s="2">
        <v>36744.51</v>
      </c>
    </row>
    <row r="184" spans="1:18" x14ac:dyDescent="0.25">
      <c r="A184" s="1">
        <v>45972</v>
      </c>
      <c r="B184" s="1">
        <v>3</v>
      </c>
      <c r="C184" s="5">
        <v>267</v>
      </c>
      <c r="D184" s="5">
        <v>172890</v>
      </c>
      <c r="E184" s="7" t="str">
        <f t="shared" si="4"/>
        <v>026700172890</v>
      </c>
      <c r="F184" s="7" t="str">
        <f t="shared" si="5"/>
        <v>30500529454026700172890</v>
      </c>
      <c r="G184" s="5">
        <v>75454553211323</v>
      </c>
      <c r="H184" s="1">
        <v>80</v>
      </c>
      <c r="I184" s="5">
        <v>30500529454</v>
      </c>
      <c r="J184" s="1" t="s">
        <v>309</v>
      </c>
      <c r="K184" s="5">
        <v>1</v>
      </c>
      <c r="L184" s="1" t="s">
        <v>168</v>
      </c>
      <c r="M184" s="5">
        <v>7614030.7599999998</v>
      </c>
      <c r="N184" s="5">
        <v>0</v>
      </c>
      <c r="O184" s="5">
        <v>0</v>
      </c>
      <c r="P184" s="5">
        <v>0</v>
      </c>
      <c r="Q184" s="5">
        <v>1598946.46</v>
      </c>
      <c r="R184" s="5">
        <v>9212977.2400000002</v>
      </c>
    </row>
    <row r="185" spans="1:18" x14ac:dyDescent="0.25">
      <c r="A185" s="1">
        <v>45972</v>
      </c>
      <c r="B185" s="1">
        <v>3</v>
      </c>
      <c r="C185" s="5">
        <v>267</v>
      </c>
      <c r="D185" s="5">
        <v>172891</v>
      </c>
      <c r="E185" s="7" t="str">
        <f t="shared" si="4"/>
        <v>026700172891</v>
      </c>
      <c r="F185" s="7" t="str">
        <f t="shared" si="5"/>
        <v>30500529454026700172891</v>
      </c>
      <c r="G185" s="5">
        <v>75454553218786</v>
      </c>
      <c r="H185" s="1">
        <v>80</v>
      </c>
      <c r="I185" s="5">
        <v>30500529454</v>
      </c>
      <c r="J185" s="1" t="s">
        <v>309</v>
      </c>
      <c r="K185" s="5">
        <v>1</v>
      </c>
      <c r="L185" s="1" t="s">
        <v>168</v>
      </c>
      <c r="M185" s="1">
        <v>5684062</v>
      </c>
      <c r="N185" s="5">
        <v>0</v>
      </c>
      <c r="O185" s="5">
        <v>0</v>
      </c>
      <c r="P185" s="5">
        <v>0</v>
      </c>
      <c r="Q185" s="2">
        <v>1193653.02</v>
      </c>
      <c r="R185" s="2">
        <v>6877715.0199999996</v>
      </c>
    </row>
    <row r="186" spans="1:18" x14ac:dyDescent="0.25">
      <c r="A186" s="1">
        <v>45972</v>
      </c>
      <c r="B186" s="1">
        <v>3</v>
      </c>
      <c r="C186" s="5">
        <v>267</v>
      </c>
      <c r="D186" s="5">
        <v>172892</v>
      </c>
      <c r="E186" s="7" t="str">
        <f t="shared" si="4"/>
        <v>026700172892</v>
      </c>
      <c r="F186" s="7" t="str">
        <f t="shared" si="5"/>
        <v>30500529454026700172892</v>
      </c>
      <c r="G186" s="5">
        <v>75454553227916</v>
      </c>
      <c r="H186" s="1">
        <v>80</v>
      </c>
      <c r="I186" s="5">
        <v>30500529454</v>
      </c>
      <c r="J186" s="1" t="s">
        <v>309</v>
      </c>
      <c r="K186" s="5">
        <v>1</v>
      </c>
      <c r="L186" s="1" t="s">
        <v>168</v>
      </c>
      <c r="M186" s="2">
        <v>771580.81</v>
      </c>
      <c r="N186" s="5">
        <v>0</v>
      </c>
      <c r="O186" s="5">
        <v>0</v>
      </c>
      <c r="P186" s="5">
        <v>0</v>
      </c>
      <c r="Q186" s="1">
        <v>162031.97</v>
      </c>
      <c r="R186" s="1">
        <v>933612.77</v>
      </c>
    </row>
    <row r="187" spans="1:18" x14ac:dyDescent="0.25">
      <c r="A187" s="1">
        <v>45972</v>
      </c>
      <c r="B187" s="1">
        <v>3</v>
      </c>
      <c r="C187" s="5">
        <v>32</v>
      </c>
      <c r="D187" s="5">
        <v>165244</v>
      </c>
      <c r="E187" s="7" t="str">
        <f t="shared" si="4"/>
        <v>003200165244</v>
      </c>
      <c r="F187" s="7" t="str">
        <f t="shared" si="5"/>
        <v>30621181838003200165244</v>
      </c>
      <c r="G187" s="5">
        <v>75458473353233</v>
      </c>
      <c r="H187" s="1">
        <v>80</v>
      </c>
      <c r="I187" s="5">
        <v>30621181838</v>
      </c>
      <c r="J187" s="1" t="s">
        <v>180</v>
      </c>
      <c r="K187" s="5">
        <v>1</v>
      </c>
      <c r="L187" s="1" t="s">
        <v>168</v>
      </c>
      <c r="M187" s="2">
        <v>192935.76</v>
      </c>
      <c r="N187" s="5"/>
      <c r="O187" s="5"/>
      <c r="P187" s="5">
        <v>0</v>
      </c>
      <c r="Q187" s="2">
        <v>40516.51</v>
      </c>
      <c r="R187" s="1">
        <v>233452.28</v>
      </c>
    </row>
    <row r="188" spans="1:18" x14ac:dyDescent="0.25">
      <c r="A188" s="1">
        <v>45972</v>
      </c>
      <c r="B188" s="1">
        <v>3</v>
      </c>
      <c r="C188" s="5">
        <v>32</v>
      </c>
      <c r="D188" s="5">
        <v>165245</v>
      </c>
      <c r="E188" s="7" t="str">
        <f t="shared" si="4"/>
        <v>003200165245</v>
      </c>
      <c r="F188" s="7" t="str">
        <f t="shared" si="5"/>
        <v>30621181838003200165245</v>
      </c>
      <c r="G188" s="5">
        <v>75458503946140</v>
      </c>
      <c r="H188" s="1">
        <v>80</v>
      </c>
      <c r="I188" s="5">
        <v>30621181838</v>
      </c>
      <c r="J188" s="1" t="s">
        <v>180</v>
      </c>
      <c r="K188" s="5">
        <v>1</v>
      </c>
      <c r="L188" s="1" t="s">
        <v>168</v>
      </c>
      <c r="M188" s="2">
        <v>66837.289999999994</v>
      </c>
      <c r="N188" s="5"/>
      <c r="O188" s="5"/>
      <c r="P188" s="2">
        <v>0</v>
      </c>
      <c r="Q188" s="2">
        <v>14035.83</v>
      </c>
      <c r="R188" s="5">
        <v>80873.100000000006</v>
      </c>
    </row>
    <row r="189" spans="1:18" x14ac:dyDescent="0.25">
      <c r="A189" s="1">
        <v>45972</v>
      </c>
      <c r="B189" s="1">
        <v>11</v>
      </c>
      <c r="C189" s="5">
        <v>2</v>
      </c>
      <c r="D189" s="5">
        <v>33</v>
      </c>
      <c r="E189" s="7" t="str">
        <f t="shared" si="4"/>
        <v>000200000033</v>
      </c>
      <c r="F189" s="7" t="str">
        <f t="shared" si="5"/>
        <v>27215633883000200000033</v>
      </c>
      <c r="G189" s="5">
        <v>75453549347137</v>
      </c>
      <c r="H189" s="1">
        <v>80</v>
      </c>
      <c r="I189" s="5">
        <v>27215633883</v>
      </c>
      <c r="J189" s="1" t="s">
        <v>71</v>
      </c>
      <c r="K189" s="5">
        <v>1</v>
      </c>
      <c r="L189" s="1" t="s">
        <v>168</v>
      </c>
      <c r="M189" s="2">
        <v>0</v>
      </c>
      <c r="N189" s="5">
        <v>0</v>
      </c>
      <c r="O189" s="5">
        <v>0</v>
      </c>
      <c r="P189" s="5">
        <v>0</v>
      </c>
      <c r="Q189" s="2">
        <v>0</v>
      </c>
      <c r="R189" s="2">
        <v>797550.69</v>
      </c>
    </row>
    <row r="190" spans="1:18" x14ac:dyDescent="0.25">
      <c r="A190" s="1">
        <v>45973</v>
      </c>
      <c r="B190" s="1">
        <v>1</v>
      </c>
      <c r="C190" s="5">
        <v>2</v>
      </c>
      <c r="D190" s="5">
        <v>13778</v>
      </c>
      <c r="E190" s="7" t="str">
        <f t="shared" si="4"/>
        <v>000200013778</v>
      </c>
      <c r="F190" s="7" t="str">
        <f t="shared" si="5"/>
        <v>20054083816000200013778</v>
      </c>
      <c r="G190" s="5">
        <v>75466563497606</v>
      </c>
      <c r="H190" s="1">
        <v>80</v>
      </c>
      <c r="I190" s="5">
        <v>20054083816</v>
      </c>
      <c r="J190" s="1" t="s">
        <v>212</v>
      </c>
      <c r="K190" s="5">
        <v>1</v>
      </c>
      <c r="L190" s="1" t="s">
        <v>168</v>
      </c>
      <c r="M190" s="2">
        <v>69739.199999999997</v>
      </c>
      <c r="N190" s="1">
        <v>0</v>
      </c>
      <c r="O190" s="1">
        <v>0</v>
      </c>
      <c r="P190" s="5">
        <v>0</v>
      </c>
      <c r="Q190" s="2">
        <v>14645.23</v>
      </c>
      <c r="R190" s="2">
        <v>84384.43</v>
      </c>
    </row>
    <row r="191" spans="1:18" x14ac:dyDescent="0.25">
      <c r="A191" s="1">
        <v>45973</v>
      </c>
      <c r="B191" s="1">
        <v>1</v>
      </c>
      <c r="C191" s="5">
        <v>3</v>
      </c>
      <c r="D191" s="5">
        <v>9391</v>
      </c>
      <c r="E191" s="7" t="str">
        <f t="shared" si="4"/>
        <v>000300009391</v>
      </c>
      <c r="F191" s="7" t="str">
        <f t="shared" si="5"/>
        <v>20318512265000300009391</v>
      </c>
      <c r="G191" s="5">
        <v>75465613853984</v>
      </c>
      <c r="H191" s="1">
        <v>80</v>
      </c>
      <c r="I191" s="5">
        <v>20318512265</v>
      </c>
      <c r="J191" s="1" t="s">
        <v>200</v>
      </c>
      <c r="K191" s="5">
        <v>1</v>
      </c>
      <c r="L191" s="1" t="s">
        <v>168</v>
      </c>
      <c r="M191" s="2">
        <v>81448</v>
      </c>
      <c r="N191" s="1">
        <v>0</v>
      </c>
      <c r="O191" s="1">
        <v>0</v>
      </c>
      <c r="P191" s="5">
        <v>0</v>
      </c>
      <c r="Q191" s="2">
        <v>17104.080000000002</v>
      </c>
      <c r="R191" s="2">
        <v>98552.08</v>
      </c>
    </row>
    <row r="192" spans="1:18" x14ac:dyDescent="0.25">
      <c r="A192" s="1">
        <v>45973</v>
      </c>
      <c r="B192" s="1">
        <v>1</v>
      </c>
      <c r="C192" s="5">
        <v>7</v>
      </c>
      <c r="D192" s="5">
        <v>567665</v>
      </c>
      <c r="E192" s="7" t="str">
        <f t="shared" si="4"/>
        <v>000700567665</v>
      </c>
      <c r="F192" s="7" t="str">
        <f t="shared" si="5"/>
        <v>30501044551000700567665</v>
      </c>
      <c r="G192" s="5">
        <v>75461582239838</v>
      </c>
      <c r="H192" s="1">
        <v>80</v>
      </c>
      <c r="I192" s="5">
        <v>30501044551</v>
      </c>
      <c r="J192" s="1" t="s">
        <v>187</v>
      </c>
      <c r="K192" s="5">
        <v>1</v>
      </c>
      <c r="L192" s="1" t="s">
        <v>168</v>
      </c>
      <c r="M192" s="2">
        <v>27.09</v>
      </c>
      <c r="N192" s="1">
        <v>0</v>
      </c>
      <c r="O192" s="1">
        <v>0</v>
      </c>
      <c r="P192" s="5">
        <v>0</v>
      </c>
      <c r="Q192" s="2">
        <v>5.69</v>
      </c>
      <c r="R192" s="2">
        <v>32.78</v>
      </c>
    </row>
    <row r="193" spans="1:18" x14ac:dyDescent="0.25">
      <c r="A193" s="1">
        <v>45973</v>
      </c>
      <c r="B193" s="1">
        <v>1</v>
      </c>
      <c r="C193" s="5">
        <v>1</v>
      </c>
      <c r="D193" s="5">
        <v>3963</v>
      </c>
      <c r="E193" s="7" t="str">
        <f t="shared" si="4"/>
        <v>000100003963</v>
      </c>
      <c r="F193" s="7" t="str">
        <f t="shared" si="5"/>
        <v>30717696774000100003963</v>
      </c>
      <c r="G193" s="5">
        <v>75464604424892</v>
      </c>
      <c r="H193" s="1">
        <v>80</v>
      </c>
      <c r="I193" s="5">
        <v>30717696774</v>
      </c>
      <c r="J193" s="1" t="s">
        <v>316</v>
      </c>
      <c r="K193" s="5">
        <v>1</v>
      </c>
      <c r="L193" s="1" t="s">
        <v>168</v>
      </c>
      <c r="M193" s="2">
        <v>35123.97</v>
      </c>
      <c r="N193" s="1">
        <v>0</v>
      </c>
      <c r="O193" s="1">
        <v>0</v>
      </c>
      <c r="P193" s="5">
        <v>0</v>
      </c>
      <c r="Q193" s="2">
        <v>7376.03</v>
      </c>
      <c r="R193" s="2">
        <v>42500</v>
      </c>
    </row>
    <row r="194" spans="1:18" x14ac:dyDescent="0.25">
      <c r="A194" s="1">
        <v>45973</v>
      </c>
      <c r="B194" s="1">
        <v>1</v>
      </c>
      <c r="C194" s="5">
        <v>10</v>
      </c>
      <c r="D194" s="5">
        <v>5445</v>
      </c>
      <c r="E194" s="7" t="str">
        <f t="shared" si="4"/>
        <v>001000005445</v>
      </c>
      <c r="F194" s="7" t="str">
        <f t="shared" si="5"/>
        <v>30648126189001000005445</v>
      </c>
      <c r="G194" s="5">
        <v>75469583939248</v>
      </c>
      <c r="H194" s="1">
        <v>80</v>
      </c>
      <c r="I194" s="5">
        <v>30648126189</v>
      </c>
      <c r="J194" s="1" t="s">
        <v>656</v>
      </c>
      <c r="K194" s="5">
        <v>1</v>
      </c>
      <c r="L194" s="1" t="s">
        <v>168</v>
      </c>
      <c r="M194" s="2">
        <v>462000</v>
      </c>
      <c r="N194" s="1">
        <v>0</v>
      </c>
      <c r="O194" s="1">
        <v>0</v>
      </c>
      <c r="P194" s="5">
        <v>5775.01</v>
      </c>
      <c r="Q194" s="2">
        <v>97020</v>
      </c>
      <c r="R194" s="2">
        <v>564795.01</v>
      </c>
    </row>
    <row r="195" spans="1:18" x14ac:dyDescent="0.25">
      <c r="A195" s="1">
        <v>45973</v>
      </c>
      <c r="B195" s="1">
        <v>1</v>
      </c>
      <c r="C195" s="5">
        <v>4</v>
      </c>
      <c r="D195" s="5">
        <v>1690535</v>
      </c>
      <c r="E195" s="7" t="str">
        <f t="shared" ref="E195:E258" si="6">TEXT(C195,"0000")&amp;TEXT(D195,"00000000")</f>
        <v>000401690535</v>
      </c>
      <c r="F195" s="7" t="str">
        <f t="shared" ref="F195:F258" si="7">I195&amp;E195</f>
        <v>30716620634000401690535</v>
      </c>
      <c r="G195" s="5">
        <v>75464631698542</v>
      </c>
      <c r="H195" s="1">
        <v>80</v>
      </c>
      <c r="I195" s="5">
        <v>30716620634</v>
      </c>
      <c r="J195" s="1" t="s">
        <v>903</v>
      </c>
      <c r="K195" s="5">
        <v>1</v>
      </c>
      <c r="L195" s="1" t="s">
        <v>168</v>
      </c>
      <c r="M195" s="5">
        <v>388428.93</v>
      </c>
      <c r="N195" s="1">
        <v>0</v>
      </c>
      <c r="O195" s="1">
        <v>0</v>
      </c>
      <c r="P195" s="5">
        <v>4855.3599999999997</v>
      </c>
      <c r="Q195" s="2">
        <v>81570.070000000007</v>
      </c>
      <c r="R195" s="2">
        <v>474854.36</v>
      </c>
    </row>
    <row r="196" spans="1:18" x14ac:dyDescent="0.25">
      <c r="A196" s="1">
        <v>45973</v>
      </c>
      <c r="B196" s="1">
        <v>1</v>
      </c>
      <c r="C196" s="5">
        <v>2</v>
      </c>
      <c r="D196" s="5">
        <v>1309</v>
      </c>
      <c r="E196" s="7" t="str">
        <f t="shared" si="6"/>
        <v>000200001309</v>
      </c>
      <c r="F196" s="7" t="str">
        <f t="shared" si="7"/>
        <v>20227712237000200001309</v>
      </c>
      <c r="G196" s="5">
        <v>75467684557866</v>
      </c>
      <c r="H196" s="1">
        <v>80</v>
      </c>
      <c r="I196" s="5">
        <v>20227712237</v>
      </c>
      <c r="J196" s="1" t="s">
        <v>648</v>
      </c>
      <c r="K196" s="5">
        <v>1</v>
      </c>
      <c r="L196" s="1" t="s">
        <v>168</v>
      </c>
      <c r="M196" s="2">
        <v>36000</v>
      </c>
      <c r="N196" s="1">
        <v>0</v>
      </c>
      <c r="O196" s="1">
        <v>0</v>
      </c>
      <c r="P196" s="5">
        <v>0</v>
      </c>
      <c r="Q196" s="2">
        <v>7560</v>
      </c>
      <c r="R196" s="2">
        <v>43560</v>
      </c>
    </row>
    <row r="197" spans="1:18" x14ac:dyDescent="0.25">
      <c r="A197" s="1">
        <v>45973</v>
      </c>
      <c r="B197" s="1">
        <v>1</v>
      </c>
      <c r="C197" s="5">
        <v>267</v>
      </c>
      <c r="D197" s="5">
        <v>907315</v>
      </c>
      <c r="E197" s="7" t="str">
        <f t="shared" si="6"/>
        <v>026700907315</v>
      </c>
      <c r="F197" s="7" t="str">
        <f t="shared" si="7"/>
        <v>30500529454026700907315</v>
      </c>
      <c r="G197" s="5">
        <v>75464626537596</v>
      </c>
      <c r="H197" s="1">
        <v>80</v>
      </c>
      <c r="I197" s="5">
        <v>30500529454</v>
      </c>
      <c r="J197" s="1" t="s">
        <v>309</v>
      </c>
      <c r="K197" s="5">
        <v>1</v>
      </c>
      <c r="L197" s="1" t="s">
        <v>168</v>
      </c>
      <c r="M197" s="1">
        <v>1014488.57</v>
      </c>
      <c r="N197" s="1">
        <v>0</v>
      </c>
      <c r="O197" s="1">
        <v>0</v>
      </c>
      <c r="P197" s="5">
        <v>55796.87</v>
      </c>
      <c r="Q197" s="1">
        <v>213042.6</v>
      </c>
      <c r="R197" s="5">
        <v>1283328.02</v>
      </c>
    </row>
    <row r="198" spans="1:18" x14ac:dyDescent="0.25">
      <c r="A198" s="1">
        <v>45973</v>
      </c>
      <c r="B198" s="1">
        <v>3</v>
      </c>
      <c r="C198" s="5">
        <v>32</v>
      </c>
      <c r="D198" s="5">
        <v>165262</v>
      </c>
      <c r="E198" s="7" t="str">
        <f t="shared" si="6"/>
        <v>003200165262</v>
      </c>
      <c r="F198" s="7" t="str">
        <f t="shared" si="7"/>
        <v>30621181838003200165262</v>
      </c>
      <c r="G198" s="5">
        <v>75468628259335</v>
      </c>
      <c r="H198" s="1">
        <v>80</v>
      </c>
      <c r="I198" s="5">
        <v>30621181838</v>
      </c>
      <c r="J198" s="1" t="s">
        <v>180</v>
      </c>
      <c r="K198" s="5">
        <v>1</v>
      </c>
      <c r="L198" s="1" t="s">
        <v>168</v>
      </c>
      <c r="M198" s="1">
        <v>11589512.1</v>
      </c>
      <c r="P198" s="5">
        <v>0</v>
      </c>
      <c r="Q198" s="1">
        <v>2433797.54</v>
      </c>
      <c r="R198" s="5">
        <v>14023309.630000001</v>
      </c>
    </row>
    <row r="199" spans="1:18" x14ac:dyDescent="0.25">
      <c r="A199" s="1">
        <v>45973</v>
      </c>
      <c r="B199" s="1">
        <v>3</v>
      </c>
      <c r="C199" s="5">
        <v>32</v>
      </c>
      <c r="D199" s="5">
        <v>165263</v>
      </c>
      <c r="E199" s="7" t="str">
        <f t="shared" si="6"/>
        <v>003200165263</v>
      </c>
      <c r="F199" s="7" t="str">
        <f t="shared" si="7"/>
        <v>30621181838003200165263</v>
      </c>
      <c r="G199" s="5">
        <v>75468628285335</v>
      </c>
      <c r="H199" s="1">
        <v>80</v>
      </c>
      <c r="I199" s="5">
        <v>30621181838</v>
      </c>
      <c r="J199" s="1" t="s">
        <v>180</v>
      </c>
      <c r="K199" s="5">
        <v>1</v>
      </c>
      <c r="L199" s="1" t="s">
        <v>168</v>
      </c>
      <c r="M199" s="2">
        <v>4068545.76</v>
      </c>
      <c r="N199" s="5"/>
      <c r="O199" s="5"/>
      <c r="P199" s="5">
        <v>0</v>
      </c>
      <c r="Q199" s="2">
        <v>854394.61</v>
      </c>
      <c r="R199" s="2">
        <v>4922940.3499999996</v>
      </c>
    </row>
    <row r="200" spans="1:18" x14ac:dyDescent="0.25">
      <c r="A200" s="1">
        <v>45973</v>
      </c>
      <c r="B200" s="1">
        <v>3</v>
      </c>
      <c r="C200" s="5">
        <v>32</v>
      </c>
      <c r="D200" s="5">
        <v>165264</v>
      </c>
      <c r="E200" s="7" t="str">
        <f t="shared" si="6"/>
        <v>003200165264</v>
      </c>
      <c r="F200" s="7" t="str">
        <f t="shared" si="7"/>
        <v>30621181838003200165264</v>
      </c>
      <c r="G200" s="5">
        <v>75468628314982</v>
      </c>
      <c r="H200" s="1">
        <v>80</v>
      </c>
      <c r="I200" s="5">
        <v>30621181838</v>
      </c>
      <c r="J200" s="1" t="s">
        <v>180</v>
      </c>
      <c r="K200" s="5">
        <v>1</v>
      </c>
      <c r="L200" s="1" t="s">
        <v>168</v>
      </c>
      <c r="M200" s="2">
        <v>1031522.62</v>
      </c>
      <c r="N200" s="5"/>
      <c r="O200" s="5"/>
      <c r="P200" s="2">
        <v>0</v>
      </c>
      <c r="Q200" s="2">
        <v>216619.75</v>
      </c>
      <c r="R200" s="2">
        <v>1248142.3799999999</v>
      </c>
    </row>
    <row r="201" spans="1:18" x14ac:dyDescent="0.25">
      <c r="A201" s="1">
        <v>45973</v>
      </c>
      <c r="B201" s="1">
        <v>3</v>
      </c>
      <c r="C201" s="5">
        <v>32</v>
      </c>
      <c r="D201" s="5">
        <v>165265</v>
      </c>
      <c r="E201" s="7" t="str">
        <f t="shared" si="6"/>
        <v>003200165265</v>
      </c>
      <c r="F201" s="7" t="str">
        <f t="shared" si="7"/>
        <v>30621181838003200165265</v>
      </c>
      <c r="G201" s="5">
        <v>75468628338657</v>
      </c>
      <c r="H201" s="1">
        <v>80</v>
      </c>
      <c r="I201" s="5">
        <v>30621181838</v>
      </c>
      <c r="J201" s="1" t="s">
        <v>180</v>
      </c>
      <c r="K201" s="5">
        <v>1</v>
      </c>
      <c r="L201" s="1" t="s">
        <v>168</v>
      </c>
      <c r="M201" s="2">
        <v>806385.38</v>
      </c>
      <c r="N201" s="5"/>
      <c r="O201" s="5"/>
      <c r="P201" s="5">
        <v>0</v>
      </c>
      <c r="Q201" s="2">
        <v>169340.93</v>
      </c>
      <c r="R201" s="1">
        <v>975726.3</v>
      </c>
    </row>
    <row r="202" spans="1:18" x14ac:dyDescent="0.25">
      <c r="A202" s="1">
        <v>45973</v>
      </c>
      <c r="B202" s="1">
        <v>3</v>
      </c>
      <c r="C202" s="5">
        <v>32</v>
      </c>
      <c r="D202" s="5">
        <v>165266</v>
      </c>
      <c r="E202" s="7" t="str">
        <f t="shared" si="6"/>
        <v>003200165266</v>
      </c>
      <c r="F202" s="7" t="str">
        <f t="shared" si="7"/>
        <v>30621181838003200165266</v>
      </c>
      <c r="G202" s="5">
        <v>75468628363127</v>
      </c>
      <c r="H202" s="1">
        <v>80</v>
      </c>
      <c r="I202" s="5">
        <v>30621181838</v>
      </c>
      <c r="J202" s="1" t="s">
        <v>180</v>
      </c>
      <c r="K202" s="5">
        <v>1</v>
      </c>
      <c r="L202" s="1" t="s">
        <v>168</v>
      </c>
      <c r="M202" s="5">
        <v>2214592.9</v>
      </c>
      <c r="N202" s="5"/>
      <c r="O202" s="5"/>
      <c r="P202" s="5">
        <v>0</v>
      </c>
      <c r="Q202" s="5">
        <v>465064.51</v>
      </c>
      <c r="R202" s="5">
        <v>2679657.42</v>
      </c>
    </row>
    <row r="203" spans="1:18" x14ac:dyDescent="0.25">
      <c r="A203" s="1">
        <v>45973</v>
      </c>
      <c r="B203" s="1">
        <v>11</v>
      </c>
      <c r="C203" s="5">
        <v>3</v>
      </c>
      <c r="D203" s="5">
        <v>4149</v>
      </c>
      <c r="E203" s="7" t="str">
        <f t="shared" si="6"/>
        <v>000300004149</v>
      </c>
      <c r="F203" s="7" t="str">
        <f t="shared" si="7"/>
        <v>30610232201000300004149</v>
      </c>
      <c r="G203" s="5">
        <v>75461650893164</v>
      </c>
      <c r="H203" s="1">
        <v>80</v>
      </c>
      <c r="I203" s="5">
        <v>30610232201</v>
      </c>
      <c r="J203" s="1" t="s">
        <v>202</v>
      </c>
      <c r="K203" s="5">
        <v>1</v>
      </c>
      <c r="L203" s="1" t="s">
        <v>168</v>
      </c>
      <c r="M203" s="1">
        <v>0</v>
      </c>
      <c r="N203" s="5">
        <v>0</v>
      </c>
      <c r="O203" s="5">
        <v>0</v>
      </c>
      <c r="P203" s="5">
        <v>0</v>
      </c>
      <c r="Q203" s="1">
        <v>0</v>
      </c>
      <c r="R203" s="5">
        <v>45000</v>
      </c>
    </row>
    <row r="204" spans="1:18" x14ac:dyDescent="0.25">
      <c r="A204" s="1">
        <v>45973</v>
      </c>
      <c r="B204" s="1">
        <v>11</v>
      </c>
      <c r="C204" s="5">
        <v>1</v>
      </c>
      <c r="D204" s="5">
        <v>32691</v>
      </c>
      <c r="E204" s="7" t="str">
        <f t="shared" si="6"/>
        <v>000100032691</v>
      </c>
      <c r="F204" s="7" t="str">
        <f t="shared" si="7"/>
        <v>30521142703000100032691</v>
      </c>
      <c r="G204" s="5">
        <v>75463645648179</v>
      </c>
      <c r="H204" s="1">
        <v>80</v>
      </c>
      <c r="I204" s="5">
        <v>30521142703</v>
      </c>
      <c r="J204" s="1" t="s">
        <v>317</v>
      </c>
      <c r="K204" s="5">
        <v>1</v>
      </c>
      <c r="L204" s="1" t="s">
        <v>168</v>
      </c>
      <c r="M204" s="1">
        <v>0</v>
      </c>
      <c r="N204" s="5">
        <v>0</v>
      </c>
      <c r="O204" s="5">
        <v>0</v>
      </c>
      <c r="P204" s="1">
        <v>0</v>
      </c>
      <c r="Q204" s="2">
        <v>0</v>
      </c>
      <c r="R204" s="2">
        <v>15790</v>
      </c>
    </row>
    <row r="205" spans="1:18" x14ac:dyDescent="0.25">
      <c r="A205" s="1">
        <v>45973</v>
      </c>
      <c r="B205" s="1">
        <v>11</v>
      </c>
      <c r="C205" s="5">
        <v>3</v>
      </c>
      <c r="D205" s="5">
        <v>921</v>
      </c>
      <c r="E205" s="7" t="str">
        <f t="shared" si="6"/>
        <v>000300000921</v>
      </c>
      <c r="F205" s="7" t="str">
        <f t="shared" si="7"/>
        <v>20314191294000300000921</v>
      </c>
      <c r="G205" s="5">
        <v>75464570002717</v>
      </c>
      <c r="H205" s="1">
        <v>80</v>
      </c>
      <c r="I205" s="5">
        <v>20314191294</v>
      </c>
      <c r="J205" s="1" t="s">
        <v>474</v>
      </c>
      <c r="K205" s="5">
        <v>1</v>
      </c>
      <c r="L205" s="1" t="s">
        <v>168</v>
      </c>
      <c r="M205" s="2">
        <v>0</v>
      </c>
      <c r="N205" s="5">
        <v>0</v>
      </c>
      <c r="O205" s="5">
        <v>0</v>
      </c>
      <c r="P205" s="5">
        <v>0</v>
      </c>
      <c r="Q205" s="2">
        <v>0</v>
      </c>
      <c r="R205" s="5">
        <v>25000</v>
      </c>
    </row>
    <row r="206" spans="1:18" x14ac:dyDescent="0.25">
      <c r="A206" s="1">
        <v>45973</v>
      </c>
      <c r="B206" s="1">
        <v>11</v>
      </c>
      <c r="C206" s="5">
        <v>2</v>
      </c>
      <c r="D206" s="5">
        <v>593</v>
      </c>
      <c r="E206" s="7" t="str">
        <f t="shared" si="6"/>
        <v>000200000593</v>
      </c>
      <c r="F206" s="7" t="str">
        <f t="shared" si="7"/>
        <v>20327963415000200000593</v>
      </c>
      <c r="G206" s="5">
        <v>75465608244024</v>
      </c>
      <c r="H206" s="1">
        <v>80</v>
      </c>
      <c r="I206" s="5">
        <v>20327963415</v>
      </c>
      <c r="J206" s="1" t="s">
        <v>433</v>
      </c>
      <c r="K206" s="5">
        <v>1</v>
      </c>
      <c r="L206" s="1" t="s">
        <v>168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45000</v>
      </c>
    </row>
    <row r="207" spans="1:18" x14ac:dyDescent="0.25">
      <c r="A207" s="1">
        <v>45973</v>
      </c>
      <c r="B207" s="1">
        <v>11</v>
      </c>
      <c r="C207" s="5">
        <v>2</v>
      </c>
      <c r="D207" s="5">
        <v>34</v>
      </c>
      <c r="E207" s="7" t="str">
        <f t="shared" si="6"/>
        <v>000200000034</v>
      </c>
      <c r="F207" s="7" t="str">
        <f t="shared" si="7"/>
        <v>27215633883000200000034</v>
      </c>
      <c r="G207" s="5">
        <v>75463694873524</v>
      </c>
      <c r="H207" s="1">
        <v>80</v>
      </c>
      <c r="I207" s="5">
        <v>27215633883</v>
      </c>
      <c r="J207" s="1" t="s">
        <v>71</v>
      </c>
      <c r="K207" s="5">
        <v>1</v>
      </c>
      <c r="L207" s="1" t="s">
        <v>168</v>
      </c>
      <c r="M207" s="2">
        <v>0</v>
      </c>
      <c r="N207" s="5">
        <v>0</v>
      </c>
      <c r="O207" s="5">
        <v>0</v>
      </c>
      <c r="P207" s="5">
        <v>0</v>
      </c>
      <c r="Q207" s="2">
        <v>0</v>
      </c>
      <c r="R207" s="2">
        <v>182000</v>
      </c>
    </row>
    <row r="208" spans="1:18" x14ac:dyDescent="0.25">
      <c r="A208" s="1">
        <v>45974</v>
      </c>
      <c r="B208" s="1">
        <v>1</v>
      </c>
      <c r="C208" s="5">
        <v>4</v>
      </c>
      <c r="D208" s="5">
        <v>5148</v>
      </c>
      <c r="E208" s="7" t="str">
        <f t="shared" si="6"/>
        <v>000400005148</v>
      </c>
      <c r="F208" s="7" t="str">
        <f t="shared" si="7"/>
        <v>20168303980000400005148</v>
      </c>
      <c r="G208" s="5">
        <v>75460770910589</v>
      </c>
      <c r="H208" s="1">
        <v>80</v>
      </c>
      <c r="I208" s="5">
        <v>20168303980</v>
      </c>
      <c r="J208" s="1" t="s">
        <v>303</v>
      </c>
      <c r="K208" s="5">
        <v>1</v>
      </c>
      <c r="L208" s="1" t="s">
        <v>168</v>
      </c>
      <c r="M208" s="2">
        <v>764117.32</v>
      </c>
      <c r="N208" s="5">
        <v>0</v>
      </c>
      <c r="O208" s="5">
        <v>0</v>
      </c>
      <c r="P208" s="2">
        <v>19102.93</v>
      </c>
      <c r="Q208" s="2">
        <v>160464.64000000001</v>
      </c>
      <c r="R208" s="2">
        <v>943684.89</v>
      </c>
    </row>
    <row r="209" spans="1:18" x14ac:dyDescent="0.25">
      <c r="A209" s="1">
        <v>45974</v>
      </c>
      <c r="B209" s="1">
        <v>1</v>
      </c>
      <c r="C209" s="5">
        <v>34</v>
      </c>
      <c r="D209" s="5">
        <v>44679</v>
      </c>
      <c r="E209" s="7" t="str">
        <f t="shared" si="6"/>
        <v>003400044679</v>
      </c>
      <c r="F209" s="7" t="str">
        <f t="shared" si="7"/>
        <v>30711379947003400044679</v>
      </c>
      <c r="G209" s="5">
        <v>75467695916113</v>
      </c>
      <c r="H209" s="1">
        <v>80</v>
      </c>
      <c r="I209" s="5">
        <v>30711379947</v>
      </c>
      <c r="J209" s="1" t="s">
        <v>904</v>
      </c>
      <c r="K209" s="5">
        <v>1</v>
      </c>
      <c r="L209" s="1" t="s">
        <v>168</v>
      </c>
      <c r="M209" s="2">
        <v>53346.66</v>
      </c>
      <c r="N209" s="5">
        <v>0</v>
      </c>
      <c r="O209" s="5">
        <v>0</v>
      </c>
      <c r="P209" s="5">
        <v>12450.57</v>
      </c>
      <c r="Q209" s="2">
        <v>11202.8</v>
      </c>
      <c r="R209" s="2">
        <v>77000.03</v>
      </c>
    </row>
    <row r="210" spans="1:18" x14ac:dyDescent="0.25">
      <c r="A210" s="1">
        <v>45974</v>
      </c>
      <c r="B210" s="1">
        <v>1</v>
      </c>
      <c r="C210" s="5">
        <v>4</v>
      </c>
      <c r="D210" s="5">
        <v>24283</v>
      </c>
      <c r="E210" s="7" t="str">
        <f t="shared" si="6"/>
        <v>000400024283</v>
      </c>
      <c r="F210" s="7" t="str">
        <f t="shared" si="7"/>
        <v>20128307746000400024283</v>
      </c>
      <c r="G210" s="5">
        <v>75466721561756</v>
      </c>
      <c r="H210" s="1">
        <v>80</v>
      </c>
      <c r="I210" s="5">
        <v>20128307746</v>
      </c>
      <c r="J210" s="1" t="s">
        <v>169</v>
      </c>
      <c r="K210" s="1">
        <v>1</v>
      </c>
      <c r="L210" s="1" t="s">
        <v>168</v>
      </c>
      <c r="M210" s="2">
        <v>7897.5</v>
      </c>
      <c r="N210" s="5">
        <v>0</v>
      </c>
      <c r="O210" s="5">
        <v>0</v>
      </c>
      <c r="P210" s="5">
        <v>0</v>
      </c>
      <c r="Q210" s="2">
        <v>999.34</v>
      </c>
      <c r="R210" s="2">
        <v>8896.84</v>
      </c>
    </row>
    <row r="211" spans="1:18" x14ac:dyDescent="0.25">
      <c r="A211" s="1">
        <v>45974</v>
      </c>
      <c r="B211" s="1">
        <v>1</v>
      </c>
      <c r="C211" s="5">
        <v>18</v>
      </c>
      <c r="D211" s="5">
        <v>9373</v>
      </c>
      <c r="E211" s="7" t="str">
        <f t="shared" si="6"/>
        <v>001800009373</v>
      </c>
      <c r="F211" s="7" t="str">
        <f t="shared" si="7"/>
        <v>30601652044001800009373</v>
      </c>
      <c r="G211" s="5">
        <v>75464696030057</v>
      </c>
      <c r="H211" s="1">
        <v>80</v>
      </c>
      <c r="I211" s="5">
        <v>30601652044</v>
      </c>
      <c r="J211" s="1" t="s">
        <v>92</v>
      </c>
      <c r="K211" s="5">
        <v>1</v>
      </c>
      <c r="L211" s="1" t="s">
        <v>168</v>
      </c>
      <c r="M211" s="1">
        <v>26297.94</v>
      </c>
      <c r="N211" s="5">
        <v>0</v>
      </c>
      <c r="O211" s="5">
        <v>0</v>
      </c>
      <c r="P211" s="5">
        <v>0</v>
      </c>
      <c r="Q211" s="2">
        <v>5522.57</v>
      </c>
      <c r="R211" s="2">
        <v>31820.51</v>
      </c>
    </row>
    <row r="212" spans="1:18" x14ac:dyDescent="0.25">
      <c r="A212" s="1">
        <v>45974</v>
      </c>
      <c r="B212" s="1">
        <v>1</v>
      </c>
      <c r="C212" s="5">
        <v>11</v>
      </c>
      <c r="D212" s="5">
        <v>157791</v>
      </c>
      <c r="E212" s="7" t="str">
        <f t="shared" si="6"/>
        <v>001100157791</v>
      </c>
      <c r="F212" s="7" t="str">
        <f t="shared" si="7"/>
        <v>20359718765001100157791</v>
      </c>
      <c r="G212" s="5">
        <v>75465775036067</v>
      </c>
      <c r="H212" s="1">
        <v>80</v>
      </c>
      <c r="I212" s="5">
        <v>20359718765</v>
      </c>
      <c r="J212" s="1" t="s">
        <v>905</v>
      </c>
      <c r="K212" s="5">
        <v>1</v>
      </c>
      <c r="L212" s="1" t="s">
        <v>168</v>
      </c>
      <c r="M212" s="2">
        <v>93265.29</v>
      </c>
      <c r="N212" s="1">
        <v>0</v>
      </c>
      <c r="O212" s="1">
        <v>0</v>
      </c>
      <c r="P212" s="5">
        <v>0</v>
      </c>
      <c r="Q212" s="2">
        <v>19585.71</v>
      </c>
      <c r="R212" s="2">
        <v>112851</v>
      </c>
    </row>
    <row r="213" spans="1:18" x14ac:dyDescent="0.25">
      <c r="A213" s="1">
        <v>45974</v>
      </c>
      <c r="B213" s="1">
        <v>1</v>
      </c>
      <c r="C213" s="5">
        <v>11</v>
      </c>
      <c r="D213" s="5">
        <v>92384</v>
      </c>
      <c r="E213" s="7" t="str">
        <f t="shared" si="6"/>
        <v>001100092384</v>
      </c>
      <c r="F213" s="7" t="str">
        <f t="shared" si="7"/>
        <v>30708779977001100092384</v>
      </c>
      <c r="G213" s="5">
        <v>75467792907552</v>
      </c>
      <c r="H213" s="1">
        <v>80</v>
      </c>
      <c r="I213" s="5">
        <v>30708779977</v>
      </c>
      <c r="J213" s="1" t="s">
        <v>906</v>
      </c>
      <c r="K213" s="5">
        <v>1</v>
      </c>
      <c r="L213" s="1" t="s">
        <v>168</v>
      </c>
      <c r="M213" s="2">
        <v>29047.31</v>
      </c>
      <c r="N213" s="5">
        <v>0</v>
      </c>
      <c r="O213" s="5">
        <v>0</v>
      </c>
      <c r="P213" s="5">
        <v>0</v>
      </c>
      <c r="Q213" s="2">
        <v>6099.94</v>
      </c>
      <c r="R213" s="2">
        <v>35147.25</v>
      </c>
    </row>
    <row r="214" spans="1:18" x14ac:dyDescent="0.25">
      <c r="A214" s="1">
        <v>45974</v>
      </c>
      <c r="B214" s="1">
        <v>1</v>
      </c>
      <c r="C214" s="5">
        <v>3</v>
      </c>
      <c r="D214" s="5">
        <v>9403</v>
      </c>
      <c r="E214" s="7" t="str">
        <f t="shared" si="6"/>
        <v>000300009403</v>
      </c>
      <c r="F214" s="7" t="str">
        <f t="shared" si="7"/>
        <v>20318512265000300009403</v>
      </c>
      <c r="G214" s="5">
        <v>75465705813734</v>
      </c>
      <c r="H214" s="1">
        <v>80</v>
      </c>
      <c r="I214" s="5">
        <v>20318512265</v>
      </c>
      <c r="J214" s="1" t="s">
        <v>200</v>
      </c>
      <c r="K214" s="5">
        <v>1</v>
      </c>
      <c r="L214" s="1" t="s">
        <v>168</v>
      </c>
      <c r="M214" s="2">
        <v>62282</v>
      </c>
      <c r="N214" s="5">
        <v>0</v>
      </c>
      <c r="O214" s="5">
        <v>0</v>
      </c>
      <c r="P214" s="5">
        <v>0</v>
      </c>
      <c r="Q214" s="2">
        <v>13079.22</v>
      </c>
      <c r="R214" s="2">
        <v>75361.22</v>
      </c>
    </row>
    <row r="215" spans="1:18" x14ac:dyDescent="0.25">
      <c r="A215" s="1">
        <v>45974</v>
      </c>
      <c r="B215" s="1">
        <v>1</v>
      </c>
      <c r="C215" s="5">
        <v>3</v>
      </c>
      <c r="D215" s="5">
        <v>4843</v>
      </c>
      <c r="E215" s="7" t="str">
        <f t="shared" si="6"/>
        <v>000300004843</v>
      </c>
      <c r="F215" s="7" t="str">
        <f t="shared" si="7"/>
        <v>27272265181000300004843</v>
      </c>
      <c r="G215" s="5">
        <v>75461811640514</v>
      </c>
      <c r="H215" s="1">
        <v>80</v>
      </c>
      <c r="I215" s="5">
        <v>27272265181</v>
      </c>
      <c r="J215" s="1" t="s">
        <v>907</v>
      </c>
      <c r="K215" s="5">
        <v>1</v>
      </c>
      <c r="L215" s="1" t="s">
        <v>168</v>
      </c>
      <c r="M215" s="2">
        <v>59669.42</v>
      </c>
      <c r="N215" s="5">
        <v>0</v>
      </c>
      <c r="O215" s="5">
        <v>0</v>
      </c>
      <c r="P215" s="5">
        <v>0</v>
      </c>
      <c r="Q215" s="1">
        <v>12530.58</v>
      </c>
      <c r="R215" s="1">
        <v>72200</v>
      </c>
    </row>
    <row r="216" spans="1:18" x14ac:dyDescent="0.25">
      <c r="A216" s="1">
        <v>45974</v>
      </c>
      <c r="B216" s="1">
        <v>1</v>
      </c>
      <c r="C216" s="5">
        <v>28</v>
      </c>
      <c r="D216" s="5">
        <v>143224</v>
      </c>
      <c r="E216" s="7" t="str">
        <f t="shared" si="6"/>
        <v>002800143224</v>
      </c>
      <c r="F216" s="7" t="str">
        <f t="shared" si="7"/>
        <v>30684386308002800143224</v>
      </c>
      <c r="G216" s="5">
        <v>75468844056450</v>
      </c>
      <c r="H216" s="1">
        <v>80</v>
      </c>
      <c r="I216" s="5">
        <v>30684386308</v>
      </c>
      <c r="J216" s="1" t="s">
        <v>136</v>
      </c>
      <c r="K216" s="5">
        <v>1</v>
      </c>
      <c r="L216" s="1" t="s">
        <v>168</v>
      </c>
      <c r="M216" s="2">
        <v>260165.29</v>
      </c>
      <c r="N216" s="5">
        <v>0</v>
      </c>
      <c r="O216" s="5">
        <v>0</v>
      </c>
      <c r="P216" s="5">
        <v>0</v>
      </c>
      <c r="Q216" s="2">
        <v>54634.7</v>
      </c>
      <c r="R216" s="2">
        <v>314800</v>
      </c>
    </row>
    <row r="217" spans="1:18" x14ac:dyDescent="0.25">
      <c r="A217" s="1">
        <v>45974</v>
      </c>
      <c r="B217" s="1">
        <v>1</v>
      </c>
      <c r="C217" s="5">
        <v>10</v>
      </c>
      <c r="D217" s="5">
        <v>16759</v>
      </c>
      <c r="E217" s="7" t="str">
        <f t="shared" si="6"/>
        <v>001000016759</v>
      </c>
      <c r="F217" s="7" t="str">
        <f t="shared" si="7"/>
        <v>30682681108001000016759</v>
      </c>
      <c r="G217" s="5">
        <v>75468847271788</v>
      </c>
      <c r="H217" s="1">
        <v>80</v>
      </c>
      <c r="I217" s="5">
        <v>30682681108</v>
      </c>
      <c r="J217" s="1" t="s">
        <v>205</v>
      </c>
      <c r="K217" s="5">
        <v>1412</v>
      </c>
      <c r="L217" s="1" t="s">
        <v>206</v>
      </c>
      <c r="M217" s="2">
        <v>1.24</v>
      </c>
      <c r="N217" s="1">
        <v>0</v>
      </c>
      <c r="O217" s="1">
        <v>0</v>
      </c>
      <c r="P217" s="5">
        <v>0</v>
      </c>
      <c r="Q217" s="2">
        <v>0.26</v>
      </c>
      <c r="R217" s="2">
        <v>1.5</v>
      </c>
    </row>
    <row r="218" spans="1:18" x14ac:dyDescent="0.25">
      <c r="A218" s="1">
        <v>45974</v>
      </c>
      <c r="B218" s="1">
        <v>1</v>
      </c>
      <c r="C218" s="5">
        <v>5</v>
      </c>
      <c r="D218" s="5">
        <v>1159</v>
      </c>
      <c r="E218" s="7" t="str">
        <f t="shared" si="6"/>
        <v>000500001159</v>
      </c>
      <c r="F218" s="7" t="str">
        <f t="shared" si="7"/>
        <v>27202740702000500001159</v>
      </c>
      <c r="G218" s="5">
        <v>75462733216048</v>
      </c>
      <c r="H218" s="1">
        <v>80</v>
      </c>
      <c r="I218" s="5">
        <v>27202740702</v>
      </c>
      <c r="J218" s="1" t="s">
        <v>908</v>
      </c>
      <c r="K218" s="5">
        <v>1</v>
      </c>
      <c r="L218" s="1" t="s">
        <v>168</v>
      </c>
      <c r="M218" s="1">
        <v>19834.71</v>
      </c>
      <c r="N218" s="1">
        <v>0</v>
      </c>
      <c r="O218" s="1">
        <v>0</v>
      </c>
      <c r="P218" s="5">
        <v>0</v>
      </c>
      <c r="Q218" s="1">
        <v>4165.29</v>
      </c>
      <c r="R218" s="5">
        <v>24000</v>
      </c>
    </row>
    <row r="219" spans="1:18" x14ac:dyDescent="0.25">
      <c r="A219" s="1">
        <v>45974</v>
      </c>
      <c r="B219" s="1">
        <v>1</v>
      </c>
      <c r="C219" s="5">
        <v>5</v>
      </c>
      <c r="D219" s="5">
        <v>508</v>
      </c>
      <c r="E219" s="7" t="str">
        <f t="shared" si="6"/>
        <v>000500000508</v>
      </c>
      <c r="F219" s="7" t="str">
        <f t="shared" si="7"/>
        <v>20177699889000500000508</v>
      </c>
      <c r="G219" s="5">
        <v>75469824844213</v>
      </c>
      <c r="H219" s="1">
        <v>80</v>
      </c>
      <c r="I219" s="5">
        <v>20177699889</v>
      </c>
      <c r="J219" s="1" t="s">
        <v>250</v>
      </c>
      <c r="K219" s="5">
        <v>1</v>
      </c>
      <c r="L219" s="1" t="s">
        <v>168</v>
      </c>
      <c r="M219" s="2">
        <v>36363.620000000003</v>
      </c>
      <c r="N219" s="5">
        <v>0</v>
      </c>
      <c r="O219" s="5">
        <v>0</v>
      </c>
      <c r="P219" s="5">
        <v>0</v>
      </c>
      <c r="Q219" s="2">
        <v>7636.36</v>
      </c>
      <c r="R219" s="2">
        <v>44000</v>
      </c>
    </row>
    <row r="220" spans="1:18" x14ac:dyDescent="0.25">
      <c r="A220" s="1">
        <v>45974</v>
      </c>
      <c r="B220" s="1">
        <v>1</v>
      </c>
      <c r="C220" s="5">
        <v>3</v>
      </c>
      <c r="D220" s="5">
        <v>1532</v>
      </c>
      <c r="E220" s="7" t="str">
        <f t="shared" si="6"/>
        <v>000300001532</v>
      </c>
      <c r="F220" s="7" t="str">
        <f t="shared" si="7"/>
        <v>20162895142000300001532</v>
      </c>
      <c r="G220" s="5">
        <v>75462793019327</v>
      </c>
      <c r="H220" s="1">
        <v>80</v>
      </c>
      <c r="I220" s="5">
        <v>20162895142</v>
      </c>
      <c r="J220" s="1" t="s">
        <v>62</v>
      </c>
      <c r="K220" s="5">
        <v>1</v>
      </c>
      <c r="L220" s="1" t="s">
        <v>168</v>
      </c>
      <c r="M220" s="2">
        <v>38181.81</v>
      </c>
      <c r="N220" s="5">
        <v>0</v>
      </c>
      <c r="O220" s="5">
        <v>0</v>
      </c>
      <c r="P220" s="5">
        <v>0</v>
      </c>
      <c r="Q220" s="2">
        <v>8018.18</v>
      </c>
      <c r="R220" s="5">
        <v>46200</v>
      </c>
    </row>
    <row r="221" spans="1:18" x14ac:dyDescent="0.25">
      <c r="A221" s="1">
        <v>45974</v>
      </c>
      <c r="B221" s="1">
        <v>1</v>
      </c>
      <c r="C221" s="5">
        <v>32</v>
      </c>
      <c r="D221" s="5">
        <v>254628</v>
      </c>
      <c r="E221" s="7" t="str">
        <f t="shared" si="6"/>
        <v>003200254628</v>
      </c>
      <c r="F221" s="7" t="str">
        <f t="shared" si="7"/>
        <v>30621181838003200254628</v>
      </c>
      <c r="G221" s="5">
        <v>75468746718004</v>
      </c>
      <c r="H221" s="1">
        <v>80</v>
      </c>
      <c r="I221" s="5">
        <v>30621181838</v>
      </c>
      <c r="J221" s="1" t="s">
        <v>180</v>
      </c>
      <c r="K221" s="5">
        <v>1</v>
      </c>
      <c r="L221" s="1" t="s">
        <v>168</v>
      </c>
      <c r="M221" s="1">
        <v>601641.1</v>
      </c>
      <c r="N221" s="5"/>
      <c r="O221" s="5"/>
      <c r="P221" s="5">
        <v>0</v>
      </c>
      <c r="Q221" s="2">
        <v>126344.63</v>
      </c>
      <c r="R221" s="2">
        <v>727985.73</v>
      </c>
    </row>
    <row r="222" spans="1:18" x14ac:dyDescent="0.25">
      <c r="A222" s="1">
        <v>45974</v>
      </c>
      <c r="B222" s="1">
        <v>3</v>
      </c>
      <c r="C222" s="5">
        <v>21</v>
      </c>
      <c r="D222" s="5">
        <v>243455</v>
      </c>
      <c r="E222" s="7" t="str">
        <f t="shared" si="6"/>
        <v>002100243455</v>
      </c>
      <c r="F222" s="7" t="str">
        <f t="shared" si="7"/>
        <v>33522734549002100243455</v>
      </c>
      <c r="G222" s="5">
        <v>35439367218964</v>
      </c>
      <c r="H222" s="1">
        <v>80</v>
      </c>
      <c r="I222" s="5">
        <v>33522734549</v>
      </c>
      <c r="J222" s="1" t="s">
        <v>193</v>
      </c>
      <c r="K222" s="5">
        <v>1</v>
      </c>
      <c r="L222" s="1" t="s">
        <v>168</v>
      </c>
      <c r="M222" s="5">
        <v>1538234.19</v>
      </c>
      <c r="N222" s="5">
        <v>0</v>
      </c>
      <c r="O222" s="5">
        <v>0</v>
      </c>
      <c r="P222" s="5">
        <v>46147.03</v>
      </c>
      <c r="Q222" s="5">
        <v>323029.18</v>
      </c>
      <c r="R222" s="5">
        <v>1907410.41</v>
      </c>
    </row>
    <row r="223" spans="1:18" x14ac:dyDescent="0.25">
      <c r="A223" s="1">
        <v>45974</v>
      </c>
      <c r="B223" s="1">
        <v>3</v>
      </c>
      <c r="C223" s="5">
        <v>21</v>
      </c>
      <c r="D223" s="5">
        <v>243456</v>
      </c>
      <c r="E223" s="7" t="str">
        <f t="shared" si="6"/>
        <v>002100243456</v>
      </c>
      <c r="F223" s="7" t="str">
        <f t="shared" si="7"/>
        <v>33522734549002100243456</v>
      </c>
      <c r="G223" s="5">
        <v>35439367218964</v>
      </c>
      <c r="H223" s="1">
        <v>80</v>
      </c>
      <c r="I223" s="5">
        <v>33522734549</v>
      </c>
      <c r="J223" s="1" t="s">
        <v>193</v>
      </c>
      <c r="K223" s="5">
        <v>1</v>
      </c>
      <c r="L223" s="1" t="s">
        <v>168</v>
      </c>
      <c r="M223" s="2">
        <v>1728507.57</v>
      </c>
      <c r="N223" s="5">
        <v>0</v>
      </c>
      <c r="O223" s="5">
        <v>0</v>
      </c>
      <c r="P223" s="2">
        <v>51855.23</v>
      </c>
      <c r="Q223" s="2">
        <v>362986.59</v>
      </c>
      <c r="R223" s="1">
        <v>2143349.41</v>
      </c>
    </row>
    <row r="224" spans="1:18" x14ac:dyDescent="0.25">
      <c r="A224" s="1">
        <v>45974</v>
      </c>
      <c r="B224" s="1">
        <v>3</v>
      </c>
      <c r="C224" s="5">
        <v>21</v>
      </c>
      <c r="D224" s="5">
        <v>243457</v>
      </c>
      <c r="E224" s="7" t="str">
        <f t="shared" si="6"/>
        <v>002100243457</v>
      </c>
      <c r="F224" s="7" t="str">
        <f t="shared" si="7"/>
        <v>33522734549002100243457</v>
      </c>
      <c r="G224" s="5">
        <v>35439367218964</v>
      </c>
      <c r="H224" s="1">
        <v>80</v>
      </c>
      <c r="I224" s="5">
        <v>33522734549</v>
      </c>
      <c r="J224" s="1" t="s">
        <v>193</v>
      </c>
      <c r="K224" s="5">
        <v>1</v>
      </c>
      <c r="L224" s="1" t="s">
        <v>168</v>
      </c>
      <c r="M224" s="1">
        <v>43506.48</v>
      </c>
      <c r="N224" s="5">
        <v>0</v>
      </c>
      <c r="O224" s="5">
        <v>0</v>
      </c>
      <c r="P224" s="5">
        <v>1305.19</v>
      </c>
      <c r="Q224" s="1">
        <v>9136.36</v>
      </c>
      <c r="R224" s="5">
        <v>53948.05</v>
      </c>
    </row>
    <row r="225" spans="1:18" x14ac:dyDescent="0.25">
      <c r="A225" s="1">
        <v>45974</v>
      </c>
      <c r="B225" s="1">
        <v>3</v>
      </c>
      <c r="C225" s="5">
        <v>21</v>
      </c>
      <c r="D225" s="5">
        <v>243459</v>
      </c>
      <c r="E225" s="7" t="str">
        <f t="shared" si="6"/>
        <v>002100243459</v>
      </c>
      <c r="F225" s="7" t="str">
        <f t="shared" si="7"/>
        <v>33522734549002100243459</v>
      </c>
      <c r="G225" s="5">
        <v>35439367218964</v>
      </c>
      <c r="H225" s="1">
        <v>80</v>
      </c>
      <c r="I225" s="5">
        <v>33522734549</v>
      </c>
      <c r="J225" s="1" t="s">
        <v>193</v>
      </c>
      <c r="K225" s="5">
        <v>1</v>
      </c>
      <c r="L225" s="1" t="s">
        <v>168</v>
      </c>
      <c r="M225" s="2">
        <v>36739.480000000003</v>
      </c>
      <c r="N225" s="5">
        <v>0</v>
      </c>
      <c r="O225" s="5">
        <v>0</v>
      </c>
      <c r="P225" s="5">
        <v>1102.18</v>
      </c>
      <c r="Q225" s="2">
        <v>7715.29</v>
      </c>
      <c r="R225" s="5">
        <v>45556.959999999999</v>
      </c>
    </row>
    <row r="226" spans="1:18" x14ac:dyDescent="0.25">
      <c r="A226" s="1">
        <v>45974</v>
      </c>
      <c r="B226" s="1">
        <v>11</v>
      </c>
      <c r="C226" s="5">
        <v>2</v>
      </c>
      <c r="D226" s="5">
        <v>1865</v>
      </c>
      <c r="E226" s="7" t="str">
        <f t="shared" si="6"/>
        <v>000200001865</v>
      </c>
      <c r="F226" s="7" t="str">
        <f t="shared" si="7"/>
        <v>20278264891000200001865</v>
      </c>
      <c r="G226" s="5">
        <v>75461705185155</v>
      </c>
      <c r="H226" s="1">
        <v>80</v>
      </c>
      <c r="I226" s="5">
        <v>20278264891</v>
      </c>
      <c r="J226" s="1" t="s">
        <v>678</v>
      </c>
      <c r="K226" s="5">
        <v>1</v>
      </c>
      <c r="L226" s="1" t="s">
        <v>168</v>
      </c>
      <c r="M226" s="2">
        <v>0</v>
      </c>
      <c r="N226" s="5">
        <v>0</v>
      </c>
      <c r="O226" s="5">
        <v>0</v>
      </c>
      <c r="P226" s="5">
        <v>0</v>
      </c>
      <c r="Q226" s="2">
        <v>0</v>
      </c>
      <c r="R226" s="2">
        <v>82000</v>
      </c>
    </row>
    <row r="227" spans="1:18" x14ac:dyDescent="0.25">
      <c r="A227" s="1">
        <v>45974</v>
      </c>
      <c r="B227" s="1">
        <v>11</v>
      </c>
      <c r="C227" s="5">
        <v>1</v>
      </c>
      <c r="D227" s="5">
        <v>365</v>
      </c>
      <c r="E227" s="7" t="str">
        <f t="shared" si="6"/>
        <v>000100000365</v>
      </c>
      <c r="F227" s="7" t="str">
        <f t="shared" si="7"/>
        <v>27409286106000100000365</v>
      </c>
      <c r="G227" s="5">
        <v>75466711744692</v>
      </c>
      <c r="H227" s="1">
        <v>80</v>
      </c>
      <c r="I227" s="5">
        <v>27409286106</v>
      </c>
      <c r="J227" s="1" t="s">
        <v>306</v>
      </c>
      <c r="K227" s="5">
        <v>1</v>
      </c>
      <c r="L227" s="1" t="s">
        <v>168</v>
      </c>
      <c r="M227" s="2">
        <v>0</v>
      </c>
      <c r="N227" s="5">
        <v>0</v>
      </c>
      <c r="O227" s="5">
        <v>0</v>
      </c>
      <c r="P227" s="5">
        <v>0</v>
      </c>
      <c r="Q227" s="2">
        <v>0</v>
      </c>
      <c r="R227" s="2">
        <v>17500</v>
      </c>
    </row>
    <row r="228" spans="1:18" x14ac:dyDescent="0.25">
      <c r="A228" s="1">
        <v>45975</v>
      </c>
      <c r="B228" s="1">
        <v>1</v>
      </c>
      <c r="C228" s="5">
        <v>4</v>
      </c>
      <c r="D228" s="5">
        <v>12006</v>
      </c>
      <c r="E228" s="7" t="str">
        <f t="shared" si="6"/>
        <v>000400012006</v>
      </c>
      <c r="F228" s="7" t="str">
        <f t="shared" si="7"/>
        <v>30611884024000400012006</v>
      </c>
      <c r="G228" s="5">
        <v>75464852356305</v>
      </c>
      <c r="H228" s="1">
        <v>80</v>
      </c>
      <c r="I228" s="5">
        <v>30611884024</v>
      </c>
      <c r="J228" s="1" t="s">
        <v>909</v>
      </c>
      <c r="K228" s="5">
        <v>1</v>
      </c>
      <c r="L228" s="1" t="s">
        <v>168</v>
      </c>
      <c r="M228" s="1">
        <v>1268570.1599999999</v>
      </c>
      <c r="N228" s="5">
        <v>0</v>
      </c>
      <c r="O228" s="5">
        <v>0</v>
      </c>
      <c r="P228" s="2">
        <v>0</v>
      </c>
      <c r="Q228" s="2">
        <v>266399.73</v>
      </c>
      <c r="R228" s="2">
        <v>1534969.89</v>
      </c>
    </row>
    <row r="229" spans="1:18" x14ac:dyDescent="0.25">
      <c r="A229" s="1">
        <v>45975</v>
      </c>
      <c r="B229" s="1">
        <v>1</v>
      </c>
      <c r="C229" s="5">
        <v>39</v>
      </c>
      <c r="D229" s="5">
        <v>1395</v>
      </c>
      <c r="E229" s="7" t="str">
        <f t="shared" si="6"/>
        <v>003900001395</v>
      </c>
      <c r="F229" s="7" t="str">
        <f t="shared" si="7"/>
        <v>30677748253003900001395</v>
      </c>
      <c r="G229" s="5">
        <v>75463911244141</v>
      </c>
      <c r="H229" s="1">
        <v>80</v>
      </c>
      <c r="I229" s="5">
        <v>30677748253</v>
      </c>
      <c r="J229" s="1" t="s">
        <v>910</v>
      </c>
      <c r="K229" s="5">
        <v>1</v>
      </c>
      <c r="L229" s="1" t="s">
        <v>168</v>
      </c>
      <c r="M229" s="2">
        <v>648388.43000000005</v>
      </c>
      <c r="N229" s="5">
        <v>0</v>
      </c>
      <c r="O229" s="5">
        <v>0</v>
      </c>
      <c r="P229" s="5">
        <v>0</v>
      </c>
      <c r="Q229" s="2">
        <v>136161.57</v>
      </c>
      <c r="R229" s="2">
        <v>784550</v>
      </c>
    </row>
    <row r="230" spans="1:18" x14ac:dyDescent="0.25">
      <c r="A230" s="1">
        <v>45975</v>
      </c>
      <c r="B230" s="1">
        <v>1</v>
      </c>
      <c r="C230" s="5">
        <v>5</v>
      </c>
      <c r="D230" s="5">
        <v>1115</v>
      </c>
      <c r="E230" s="7" t="str">
        <f t="shared" si="6"/>
        <v>000500001115</v>
      </c>
      <c r="F230" s="7" t="str">
        <f t="shared" si="7"/>
        <v>27221445908000500001115</v>
      </c>
      <c r="G230" s="5">
        <v>75468874973037</v>
      </c>
      <c r="H230" s="1">
        <v>80</v>
      </c>
      <c r="I230" s="5">
        <v>27221445908</v>
      </c>
      <c r="J230" s="1" t="s">
        <v>225</v>
      </c>
      <c r="K230" s="5">
        <v>1</v>
      </c>
      <c r="L230" s="1" t="s">
        <v>168</v>
      </c>
      <c r="M230" s="5">
        <v>2057851.24</v>
      </c>
      <c r="N230" s="5">
        <v>0</v>
      </c>
      <c r="O230" s="5">
        <v>0</v>
      </c>
      <c r="P230" s="5">
        <v>0</v>
      </c>
      <c r="Q230" s="5">
        <v>432148.76</v>
      </c>
      <c r="R230" s="5">
        <v>2490000</v>
      </c>
    </row>
    <row r="231" spans="1:18" x14ac:dyDescent="0.25">
      <c r="A231" s="1">
        <v>45975</v>
      </c>
      <c r="B231" s="1">
        <v>1</v>
      </c>
      <c r="C231" s="5">
        <v>23</v>
      </c>
      <c r="D231" s="5">
        <v>43009</v>
      </c>
      <c r="E231" s="7" t="str">
        <f t="shared" si="6"/>
        <v>002300043009</v>
      </c>
      <c r="F231" s="7" t="str">
        <f t="shared" si="7"/>
        <v>30543035064002300043009</v>
      </c>
      <c r="G231" s="5">
        <v>75464839396294</v>
      </c>
      <c r="H231" s="1">
        <v>80</v>
      </c>
      <c r="I231" s="5">
        <v>30543035064</v>
      </c>
      <c r="J231" s="1" t="s">
        <v>893</v>
      </c>
      <c r="K231" s="5">
        <v>1</v>
      </c>
      <c r="L231" s="1" t="s">
        <v>168</v>
      </c>
      <c r="M231" s="2">
        <v>109311.72</v>
      </c>
      <c r="N231" s="5">
        <v>0</v>
      </c>
      <c r="O231" s="5">
        <v>0</v>
      </c>
      <c r="P231" s="5">
        <v>17732.759999999998</v>
      </c>
      <c r="Q231" s="2">
        <v>22955.46</v>
      </c>
      <c r="R231" s="2">
        <v>149999.94</v>
      </c>
    </row>
    <row r="232" spans="1:18" x14ac:dyDescent="0.25">
      <c r="A232" s="1">
        <v>45975</v>
      </c>
      <c r="B232" s="1">
        <v>1</v>
      </c>
      <c r="C232" s="5">
        <v>21</v>
      </c>
      <c r="D232" s="5">
        <v>16745</v>
      </c>
      <c r="E232" s="7" t="str">
        <f t="shared" si="6"/>
        <v>002100016745</v>
      </c>
      <c r="F232" s="7" t="str">
        <f t="shared" si="7"/>
        <v>30530197413002100016745</v>
      </c>
      <c r="G232" s="5">
        <v>75463850326097</v>
      </c>
      <c r="H232" s="1">
        <v>80</v>
      </c>
      <c r="I232" s="5">
        <v>30530197413</v>
      </c>
      <c r="J232" s="1" t="s">
        <v>175</v>
      </c>
      <c r="K232" s="5">
        <v>1</v>
      </c>
      <c r="L232" s="1" t="s">
        <v>168</v>
      </c>
      <c r="M232" s="2">
        <v>9421.49</v>
      </c>
      <c r="N232" s="5">
        <v>0</v>
      </c>
      <c r="O232" s="5">
        <v>0</v>
      </c>
      <c r="P232" s="5">
        <v>0</v>
      </c>
      <c r="Q232" s="2">
        <v>1978.51</v>
      </c>
      <c r="R232" s="5">
        <v>11400</v>
      </c>
    </row>
    <row r="233" spans="1:18" x14ac:dyDescent="0.25">
      <c r="A233" s="1">
        <v>45975</v>
      </c>
      <c r="B233" s="1">
        <v>1</v>
      </c>
      <c r="C233" s="5">
        <v>19</v>
      </c>
      <c r="D233" s="5">
        <v>3800</v>
      </c>
      <c r="E233" s="7" t="str">
        <f t="shared" si="6"/>
        <v>001900003800</v>
      </c>
      <c r="F233" s="7" t="str">
        <f t="shared" si="7"/>
        <v>30601652044001900003800</v>
      </c>
      <c r="G233" s="5">
        <v>75464875421885</v>
      </c>
      <c r="H233" s="1">
        <v>80</v>
      </c>
      <c r="I233" s="5">
        <v>30601652044</v>
      </c>
      <c r="J233" s="1" t="s">
        <v>92</v>
      </c>
      <c r="K233" s="5">
        <v>1</v>
      </c>
      <c r="L233" s="1" t="s">
        <v>168</v>
      </c>
      <c r="M233" s="2">
        <v>113266.27</v>
      </c>
      <c r="N233" s="1">
        <v>0</v>
      </c>
      <c r="O233" s="1">
        <v>0</v>
      </c>
      <c r="P233" s="5">
        <v>0</v>
      </c>
      <c r="Q233" s="2">
        <v>22258.560000000001</v>
      </c>
      <c r="R233" s="2">
        <v>135524.82999999999</v>
      </c>
    </row>
    <row r="234" spans="1:18" x14ac:dyDescent="0.25">
      <c r="A234" s="1">
        <v>45975</v>
      </c>
      <c r="B234" s="1">
        <v>1</v>
      </c>
      <c r="C234" s="5">
        <v>4</v>
      </c>
      <c r="D234" s="5">
        <v>24295</v>
      </c>
      <c r="E234" s="7" t="str">
        <f t="shared" si="6"/>
        <v>000400024295</v>
      </c>
      <c r="F234" s="7" t="str">
        <f t="shared" si="7"/>
        <v>20128307746000400024295</v>
      </c>
      <c r="G234" s="5">
        <v>75466920901321</v>
      </c>
      <c r="H234" s="1">
        <v>80</v>
      </c>
      <c r="I234" s="5">
        <v>20128307746</v>
      </c>
      <c r="J234" s="1" t="s">
        <v>169</v>
      </c>
      <c r="K234" s="5">
        <v>1</v>
      </c>
      <c r="L234" s="1" t="s">
        <v>168</v>
      </c>
      <c r="M234" s="2">
        <v>58725</v>
      </c>
      <c r="N234" s="5">
        <v>0</v>
      </c>
      <c r="O234" s="5">
        <v>0</v>
      </c>
      <c r="P234" s="5">
        <v>0</v>
      </c>
      <c r="Q234" s="2">
        <v>6166.13</v>
      </c>
      <c r="R234" s="2">
        <v>64891.13</v>
      </c>
    </row>
    <row r="235" spans="1:18" x14ac:dyDescent="0.25">
      <c r="A235" s="1">
        <v>45975</v>
      </c>
      <c r="B235" s="1">
        <v>1</v>
      </c>
      <c r="C235" s="5">
        <v>27</v>
      </c>
      <c r="D235" s="5">
        <v>29761</v>
      </c>
      <c r="E235" s="7" t="str">
        <f t="shared" si="6"/>
        <v>002700029761</v>
      </c>
      <c r="F235" s="7" t="str">
        <f t="shared" si="7"/>
        <v>33708336969002700029761</v>
      </c>
      <c r="G235" s="5">
        <v>75469901463198</v>
      </c>
      <c r="H235" s="1">
        <v>80</v>
      </c>
      <c r="I235" s="5">
        <v>33708336969</v>
      </c>
      <c r="J235" s="1" t="s">
        <v>191</v>
      </c>
      <c r="K235" s="5">
        <v>1</v>
      </c>
      <c r="L235" s="1" t="s">
        <v>168</v>
      </c>
      <c r="M235" s="2">
        <v>1761250.09</v>
      </c>
      <c r="N235" s="5">
        <v>0</v>
      </c>
      <c r="O235" s="5">
        <v>0</v>
      </c>
      <c r="P235" s="2">
        <v>274919.26</v>
      </c>
      <c r="Q235" s="2">
        <v>369862.52</v>
      </c>
      <c r="R235" s="1">
        <v>2406031.86</v>
      </c>
    </row>
    <row r="236" spans="1:18" x14ac:dyDescent="0.25">
      <c r="A236" s="1">
        <v>45975</v>
      </c>
      <c r="B236" s="1">
        <v>1</v>
      </c>
      <c r="C236" s="5">
        <v>4</v>
      </c>
      <c r="D236" s="5">
        <v>142</v>
      </c>
      <c r="E236" s="7" t="str">
        <f t="shared" si="6"/>
        <v>000400000142</v>
      </c>
      <c r="F236" s="7" t="str">
        <f t="shared" si="7"/>
        <v>20263417489000400000142</v>
      </c>
      <c r="G236" s="5">
        <v>75469843154025</v>
      </c>
      <c r="H236" s="1">
        <v>80</v>
      </c>
      <c r="I236" s="5">
        <v>20263417489</v>
      </c>
      <c r="J236" s="1" t="s">
        <v>682</v>
      </c>
      <c r="K236" s="5">
        <v>1</v>
      </c>
      <c r="L236" s="1" t="s">
        <v>168</v>
      </c>
      <c r="M236" s="2">
        <v>1659836.75</v>
      </c>
      <c r="N236" s="1">
        <v>0</v>
      </c>
      <c r="O236" s="1">
        <v>0</v>
      </c>
      <c r="P236" s="5">
        <v>0</v>
      </c>
      <c r="Q236" s="2">
        <v>348565.72</v>
      </c>
      <c r="R236" s="2">
        <v>2008402.47</v>
      </c>
    </row>
    <row r="237" spans="1:18" x14ac:dyDescent="0.25">
      <c r="A237" s="1">
        <v>45975</v>
      </c>
      <c r="B237" s="1">
        <v>1</v>
      </c>
      <c r="C237" s="5">
        <v>6</v>
      </c>
      <c r="D237" s="5">
        <v>12203</v>
      </c>
      <c r="E237" s="7" t="str">
        <f t="shared" si="6"/>
        <v>000600012203</v>
      </c>
      <c r="F237" s="7" t="str">
        <f t="shared" si="7"/>
        <v>27323556208000600012203</v>
      </c>
      <c r="G237" s="5">
        <v>75468944470334</v>
      </c>
      <c r="H237" s="1">
        <v>80</v>
      </c>
      <c r="I237" s="5">
        <v>27323556208</v>
      </c>
      <c r="J237" s="1" t="s">
        <v>911</v>
      </c>
      <c r="K237" s="5">
        <v>1</v>
      </c>
      <c r="L237" s="1" t="s">
        <v>168</v>
      </c>
      <c r="M237" s="1">
        <v>11689.91</v>
      </c>
      <c r="N237" s="1">
        <v>0</v>
      </c>
      <c r="O237" s="1">
        <v>0</v>
      </c>
      <c r="P237" s="5">
        <v>0</v>
      </c>
      <c r="Q237" s="2">
        <v>2454.88</v>
      </c>
      <c r="R237" s="2">
        <v>14144.79</v>
      </c>
    </row>
    <row r="238" spans="1:18" x14ac:dyDescent="0.25">
      <c r="A238" s="1">
        <v>45975</v>
      </c>
      <c r="B238" s="1">
        <v>1</v>
      </c>
      <c r="C238" s="5">
        <v>104</v>
      </c>
      <c r="D238" s="5">
        <v>11211938</v>
      </c>
      <c r="E238" s="7" t="str">
        <f t="shared" si="6"/>
        <v>010411211938</v>
      </c>
      <c r="F238" s="7" t="str">
        <f t="shared" si="7"/>
        <v>30715804812010411211938</v>
      </c>
      <c r="G238" s="5">
        <v>75462961501369</v>
      </c>
      <c r="H238" s="1">
        <v>80</v>
      </c>
      <c r="I238" s="5">
        <v>30715804812</v>
      </c>
      <c r="J238" s="1" t="s">
        <v>207</v>
      </c>
      <c r="K238" s="5">
        <v>1</v>
      </c>
      <c r="L238" s="1" t="s">
        <v>168</v>
      </c>
      <c r="M238" s="2">
        <v>6239.88</v>
      </c>
      <c r="N238" s="1">
        <v>0</v>
      </c>
      <c r="O238" s="1">
        <v>0</v>
      </c>
      <c r="P238" s="5">
        <v>0</v>
      </c>
      <c r="Q238" s="2">
        <v>1310.3800000000001</v>
      </c>
      <c r="R238" s="2">
        <v>7550.26</v>
      </c>
    </row>
    <row r="239" spans="1:18" x14ac:dyDescent="0.25">
      <c r="A239" s="1">
        <v>45975</v>
      </c>
      <c r="B239" s="1">
        <v>1</v>
      </c>
      <c r="C239" s="5">
        <v>104</v>
      </c>
      <c r="D239" s="5">
        <v>11168973</v>
      </c>
      <c r="E239" s="7" t="str">
        <f t="shared" si="6"/>
        <v>010411168973</v>
      </c>
      <c r="F239" s="7" t="str">
        <f t="shared" si="7"/>
        <v>30715804812010411168973</v>
      </c>
      <c r="G239" s="5">
        <v>75462936203027</v>
      </c>
      <c r="H239" s="1">
        <v>80</v>
      </c>
      <c r="I239" s="5">
        <v>30715804812</v>
      </c>
      <c r="J239" s="1" t="s">
        <v>207</v>
      </c>
      <c r="K239" s="5">
        <v>1</v>
      </c>
      <c r="L239" s="1" t="s">
        <v>168</v>
      </c>
      <c r="M239" s="2">
        <v>31199.41</v>
      </c>
      <c r="N239" s="1">
        <v>0</v>
      </c>
      <c r="O239" s="1">
        <v>0</v>
      </c>
      <c r="P239" s="5">
        <v>0</v>
      </c>
      <c r="Q239" s="2">
        <v>6551.87</v>
      </c>
      <c r="R239" s="2">
        <v>37751.279999999999</v>
      </c>
    </row>
    <row r="240" spans="1:18" x14ac:dyDescent="0.25">
      <c r="A240" s="1">
        <v>45975</v>
      </c>
      <c r="B240" s="1">
        <v>1</v>
      </c>
      <c r="C240" s="5">
        <v>10</v>
      </c>
      <c r="D240" s="5">
        <v>16774</v>
      </c>
      <c r="E240" s="7" t="str">
        <f t="shared" si="6"/>
        <v>001000016774</v>
      </c>
      <c r="F240" s="7" t="str">
        <f t="shared" si="7"/>
        <v>30682681108001000016774</v>
      </c>
      <c r="G240" s="5">
        <v>75468125627931</v>
      </c>
      <c r="H240" s="1">
        <v>80</v>
      </c>
      <c r="I240" s="5">
        <v>30682681108</v>
      </c>
      <c r="J240" s="1" t="s">
        <v>205</v>
      </c>
      <c r="K240" s="5">
        <v>1406</v>
      </c>
      <c r="L240" s="1" t="s">
        <v>206</v>
      </c>
      <c r="M240" s="5">
        <v>2797.58</v>
      </c>
      <c r="N240" s="5">
        <v>0</v>
      </c>
      <c r="O240" s="5">
        <v>0</v>
      </c>
      <c r="P240" s="5">
        <v>0</v>
      </c>
      <c r="Q240" s="5">
        <v>587.49</v>
      </c>
      <c r="R240" s="5">
        <v>3385.07</v>
      </c>
    </row>
    <row r="241" spans="1:18" x14ac:dyDescent="0.25">
      <c r="A241" s="1">
        <v>45975</v>
      </c>
      <c r="B241" s="1">
        <v>1</v>
      </c>
      <c r="C241" s="5">
        <v>2</v>
      </c>
      <c r="D241" s="5">
        <v>10397</v>
      </c>
      <c r="E241" s="7" t="str">
        <f t="shared" si="6"/>
        <v>000200010397</v>
      </c>
      <c r="F241" s="7" t="str">
        <f t="shared" si="7"/>
        <v>30642674567000200010397</v>
      </c>
      <c r="G241" s="5">
        <v>75467199129447</v>
      </c>
      <c r="H241" s="1">
        <v>80</v>
      </c>
      <c r="I241" s="5">
        <v>30642674567</v>
      </c>
      <c r="J241" s="1" t="s">
        <v>184</v>
      </c>
      <c r="K241" s="5">
        <v>1</v>
      </c>
      <c r="L241" s="1" t="s">
        <v>168</v>
      </c>
      <c r="M241" s="2">
        <v>28445.26</v>
      </c>
      <c r="N241" s="5">
        <v>0</v>
      </c>
      <c r="O241" s="5">
        <v>0</v>
      </c>
      <c r="P241" s="5">
        <v>0</v>
      </c>
      <c r="Q241" s="2">
        <v>5973.5</v>
      </c>
      <c r="R241" s="2">
        <v>34418.76</v>
      </c>
    </row>
    <row r="242" spans="1:18" x14ac:dyDescent="0.25">
      <c r="A242" s="1">
        <v>45975</v>
      </c>
      <c r="B242" s="1">
        <v>1</v>
      </c>
      <c r="C242" s="5">
        <v>267</v>
      </c>
      <c r="D242" s="5">
        <v>907868</v>
      </c>
      <c r="E242" s="7" t="str">
        <f t="shared" si="6"/>
        <v>026700907868</v>
      </c>
      <c r="F242" s="7" t="str">
        <f t="shared" si="7"/>
        <v>30500529454026700907868</v>
      </c>
      <c r="G242" s="5">
        <v>75464891986392</v>
      </c>
      <c r="H242" s="1">
        <v>80</v>
      </c>
      <c r="I242" s="5">
        <v>30500529454</v>
      </c>
      <c r="J242" s="1" t="s">
        <v>309</v>
      </c>
      <c r="K242" s="5">
        <v>1</v>
      </c>
      <c r="L242" s="1" t="s">
        <v>168</v>
      </c>
      <c r="M242" s="2">
        <v>280775.86</v>
      </c>
      <c r="N242" s="5">
        <v>0</v>
      </c>
      <c r="O242" s="5">
        <v>0</v>
      </c>
      <c r="P242" s="5">
        <v>15442.68</v>
      </c>
      <c r="Q242" s="2">
        <v>58962.93</v>
      </c>
      <c r="R242" s="2">
        <v>355181.49</v>
      </c>
    </row>
    <row r="243" spans="1:18" x14ac:dyDescent="0.25">
      <c r="A243" s="1">
        <v>45975</v>
      </c>
      <c r="B243" s="1">
        <v>1</v>
      </c>
      <c r="C243" s="5">
        <v>79</v>
      </c>
      <c r="D243" s="5">
        <v>26895</v>
      </c>
      <c r="E243" s="7" t="str">
        <f t="shared" si="6"/>
        <v>007900026895</v>
      </c>
      <c r="F243" s="7" t="str">
        <f t="shared" si="7"/>
        <v>30503037226007900026895</v>
      </c>
      <c r="G243" s="5">
        <v>75466844011779</v>
      </c>
      <c r="H243" s="1">
        <v>80</v>
      </c>
      <c r="I243" s="5">
        <v>30503037226</v>
      </c>
      <c r="J243" s="1" t="s">
        <v>896</v>
      </c>
      <c r="K243" s="5">
        <v>1</v>
      </c>
      <c r="L243" s="1" t="s">
        <v>168</v>
      </c>
      <c r="M243" s="2">
        <v>4273491.57</v>
      </c>
      <c r="N243" s="5">
        <v>0</v>
      </c>
      <c r="O243" s="5">
        <v>0</v>
      </c>
      <c r="P243" s="5">
        <v>0</v>
      </c>
      <c r="Q243" s="2">
        <v>897433.23</v>
      </c>
      <c r="R243" s="5">
        <v>5170924.82</v>
      </c>
    </row>
    <row r="244" spans="1:18" x14ac:dyDescent="0.25">
      <c r="A244" s="1">
        <v>45975</v>
      </c>
      <c r="B244" s="1">
        <v>1</v>
      </c>
      <c r="C244" s="5">
        <v>268</v>
      </c>
      <c r="D244" s="5">
        <v>40813</v>
      </c>
      <c r="E244" s="7" t="str">
        <f t="shared" si="6"/>
        <v>026800040813</v>
      </c>
      <c r="F244" s="7" t="str">
        <f t="shared" si="7"/>
        <v>30500529454026800040813</v>
      </c>
      <c r="G244" s="5">
        <v>75464181754640</v>
      </c>
      <c r="H244" s="1">
        <v>80</v>
      </c>
      <c r="I244" s="5">
        <v>30500529454</v>
      </c>
      <c r="J244" s="1" t="s">
        <v>309</v>
      </c>
      <c r="K244" s="5">
        <v>1</v>
      </c>
      <c r="L244" s="1" t="s">
        <v>168</v>
      </c>
      <c r="M244" s="2">
        <v>4230690.8600000003</v>
      </c>
      <c r="N244" s="5">
        <v>0</v>
      </c>
      <c r="O244" s="5">
        <v>0</v>
      </c>
      <c r="P244" s="5">
        <v>232688</v>
      </c>
      <c r="Q244" s="2">
        <v>888445.08</v>
      </c>
      <c r="R244" s="2">
        <v>5351823.9400000004</v>
      </c>
    </row>
    <row r="245" spans="1:18" x14ac:dyDescent="0.25">
      <c r="A245" s="1">
        <v>45975</v>
      </c>
      <c r="B245" s="1">
        <v>1</v>
      </c>
      <c r="C245" s="5">
        <v>268</v>
      </c>
      <c r="D245" s="5">
        <v>40814</v>
      </c>
      <c r="E245" s="7" t="str">
        <f t="shared" si="6"/>
        <v>026800040814</v>
      </c>
      <c r="F245" s="7" t="str">
        <f t="shared" si="7"/>
        <v>30500529454026800040814</v>
      </c>
      <c r="G245" s="5">
        <v>75464181843635</v>
      </c>
      <c r="H245" s="1">
        <v>80</v>
      </c>
      <c r="I245" s="5">
        <v>30500529454</v>
      </c>
      <c r="J245" s="1" t="s">
        <v>309</v>
      </c>
      <c r="K245" s="5">
        <v>1</v>
      </c>
      <c r="L245" s="1" t="s">
        <v>168</v>
      </c>
      <c r="M245" s="2">
        <v>3981238.67</v>
      </c>
      <c r="N245" s="5">
        <v>0</v>
      </c>
      <c r="O245" s="5">
        <v>0</v>
      </c>
      <c r="P245" s="5">
        <v>218968.13</v>
      </c>
      <c r="Q245" s="2">
        <v>836060.12</v>
      </c>
      <c r="R245" s="2">
        <v>5036266.9000000004</v>
      </c>
    </row>
    <row r="246" spans="1:18" x14ac:dyDescent="0.25">
      <c r="A246" s="1">
        <v>45975</v>
      </c>
      <c r="B246" s="1">
        <v>1</v>
      </c>
      <c r="C246" s="5">
        <v>215</v>
      </c>
      <c r="D246" s="5">
        <v>100586</v>
      </c>
      <c r="E246" s="7" t="str">
        <f t="shared" si="6"/>
        <v>021500100586</v>
      </c>
      <c r="F246" s="7" t="str">
        <f t="shared" si="7"/>
        <v>30500529071021500100586</v>
      </c>
      <c r="G246" s="5">
        <v>35431670074949</v>
      </c>
      <c r="H246" s="1">
        <v>80</v>
      </c>
      <c r="I246" s="5">
        <v>30500529071</v>
      </c>
      <c r="J246" s="1" t="s">
        <v>179</v>
      </c>
      <c r="K246" s="5">
        <v>1</v>
      </c>
      <c r="L246" s="1" t="s">
        <v>168</v>
      </c>
      <c r="M246" s="2">
        <v>94257.71</v>
      </c>
      <c r="N246" s="5"/>
      <c r="O246" s="5"/>
      <c r="P246" s="5">
        <v>5184.17</v>
      </c>
      <c r="Q246" s="2">
        <v>19794.12</v>
      </c>
      <c r="R246" s="5">
        <v>119236.01</v>
      </c>
    </row>
    <row r="247" spans="1:18" x14ac:dyDescent="0.25">
      <c r="A247" s="1">
        <v>45975</v>
      </c>
      <c r="B247" s="1">
        <v>1</v>
      </c>
      <c r="C247" s="5">
        <v>215</v>
      </c>
      <c r="D247" s="5">
        <v>100613</v>
      </c>
      <c r="E247" s="7" t="str">
        <f t="shared" si="6"/>
        <v>021500100613</v>
      </c>
      <c r="F247" s="7" t="str">
        <f t="shared" si="7"/>
        <v>30500529071021500100613</v>
      </c>
      <c r="G247" s="5">
        <v>35431670074949</v>
      </c>
      <c r="H247" s="1">
        <v>80</v>
      </c>
      <c r="I247" s="5">
        <v>30500529071</v>
      </c>
      <c r="J247" s="1" t="s">
        <v>179</v>
      </c>
      <c r="K247" s="5">
        <v>1</v>
      </c>
      <c r="L247" s="1" t="s">
        <v>168</v>
      </c>
      <c r="M247" s="2">
        <v>10851574.76</v>
      </c>
      <c r="N247" s="5"/>
      <c r="O247" s="5"/>
      <c r="P247" s="5">
        <v>596836.61</v>
      </c>
      <c r="Q247" s="2">
        <v>2278830.7000000002</v>
      </c>
      <c r="R247" s="5">
        <v>13727242.08</v>
      </c>
    </row>
    <row r="248" spans="1:18" x14ac:dyDescent="0.25">
      <c r="A248" s="1">
        <v>45975</v>
      </c>
      <c r="B248" s="1">
        <v>3</v>
      </c>
      <c r="C248" s="5">
        <v>4</v>
      </c>
      <c r="D248" s="5">
        <v>11921</v>
      </c>
      <c r="E248" s="7" t="str">
        <f t="shared" si="6"/>
        <v>000400011921</v>
      </c>
      <c r="F248" s="7" t="str">
        <f t="shared" si="7"/>
        <v>30500563059000400011921</v>
      </c>
      <c r="G248" s="5">
        <v>75469877824058</v>
      </c>
      <c r="H248" s="1">
        <v>80</v>
      </c>
      <c r="I248" s="5">
        <v>30500563059</v>
      </c>
      <c r="J248" s="1" t="s">
        <v>221</v>
      </c>
      <c r="K248" s="5">
        <v>1</v>
      </c>
      <c r="L248" s="1" t="s">
        <v>168</v>
      </c>
      <c r="M248" s="2">
        <v>5497216.0700000003</v>
      </c>
      <c r="N248" s="5">
        <v>0</v>
      </c>
      <c r="O248" s="5">
        <v>0</v>
      </c>
      <c r="P248" s="2">
        <v>0</v>
      </c>
      <c r="Q248" s="2">
        <v>1154415.3700000001</v>
      </c>
      <c r="R248" s="2">
        <v>6651631.4400000004</v>
      </c>
    </row>
    <row r="249" spans="1:18" x14ac:dyDescent="0.25">
      <c r="A249" s="1">
        <v>45975</v>
      </c>
      <c r="B249" s="1">
        <v>3</v>
      </c>
      <c r="C249" s="5">
        <v>4</v>
      </c>
      <c r="D249" s="5">
        <v>11922</v>
      </c>
      <c r="E249" s="7" t="str">
        <f t="shared" si="6"/>
        <v>000400011922</v>
      </c>
      <c r="F249" s="7" t="str">
        <f t="shared" si="7"/>
        <v>30500563059000400011922</v>
      </c>
      <c r="G249" s="5">
        <v>75469877885688</v>
      </c>
      <c r="H249" s="1">
        <v>80</v>
      </c>
      <c r="I249" s="5">
        <v>30500563059</v>
      </c>
      <c r="J249" s="1" t="s">
        <v>221</v>
      </c>
      <c r="K249" s="5">
        <v>1</v>
      </c>
      <c r="L249" s="1" t="s">
        <v>168</v>
      </c>
      <c r="M249" s="2">
        <v>1675.55</v>
      </c>
      <c r="N249" s="5">
        <v>0</v>
      </c>
      <c r="O249" s="5">
        <v>0</v>
      </c>
      <c r="P249" s="2">
        <v>0</v>
      </c>
      <c r="Q249" s="2">
        <v>351.87</v>
      </c>
      <c r="R249" s="2">
        <v>2027.42</v>
      </c>
    </row>
    <row r="250" spans="1:18" x14ac:dyDescent="0.25">
      <c r="A250" s="1">
        <v>45975</v>
      </c>
      <c r="B250" s="1">
        <v>3</v>
      </c>
      <c r="C250" s="5">
        <v>333</v>
      </c>
      <c r="D250" s="5">
        <v>11268</v>
      </c>
      <c r="E250" s="7" t="str">
        <f t="shared" si="6"/>
        <v>033300011268</v>
      </c>
      <c r="F250" s="7" t="str">
        <f t="shared" si="7"/>
        <v>30646512952033300011268</v>
      </c>
      <c r="G250" s="5">
        <v>35432150758787</v>
      </c>
      <c r="H250" s="1">
        <v>80</v>
      </c>
      <c r="I250" s="5">
        <v>30646512952</v>
      </c>
      <c r="J250" s="1" t="s">
        <v>320</v>
      </c>
      <c r="K250" s="5">
        <v>1</v>
      </c>
      <c r="L250" s="1" t="s">
        <v>168</v>
      </c>
      <c r="M250" s="2">
        <v>39161.589999999997</v>
      </c>
      <c r="N250" s="5">
        <v>0</v>
      </c>
      <c r="O250" s="5">
        <v>0</v>
      </c>
      <c r="P250" s="5">
        <v>0</v>
      </c>
      <c r="Q250" s="2">
        <v>8223.93</v>
      </c>
      <c r="R250" s="2">
        <v>47385.52</v>
      </c>
    </row>
    <row r="251" spans="1:18" x14ac:dyDescent="0.25">
      <c r="A251" s="1">
        <v>45975</v>
      </c>
      <c r="B251" s="1">
        <v>3</v>
      </c>
      <c r="C251" s="5">
        <v>74</v>
      </c>
      <c r="D251" s="5">
        <v>13709</v>
      </c>
      <c r="E251" s="7" t="str">
        <f t="shared" si="6"/>
        <v>007400013709</v>
      </c>
      <c r="F251" s="7" t="str">
        <f t="shared" si="7"/>
        <v>30503037226007400013709</v>
      </c>
      <c r="G251" s="5">
        <v>75466848471486</v>
      </c>
      <c r="H251" s="1">
        <v>80</v>
      </c>
      <c r="I251" s="5">
        <v>30503037226</v>
      </c>
      <c r="J251" s="1" t="s">
        <v>896</v>
      </c>
      <c r="K251" s="5">
        <v>1</v>
      </c>
      <c r="L251" s="1" t="s">
        <v>168</v>
      </c>
      <c r="M251" s="2">
        <v>86818.05</v>
      </c>
      <c r="N251" s="5">
        <v>0</v>
      </c>
      <c r="O251" s="5">
        <v>0</v>
      </c>
      <c r="P251" s="5">
        <v>0</v>
      </c>
      <c r="Q251" s="2">
        <v>18231.79</v>
      </c>
      <c r="R251" s="2">
        <v>105049.82</v>
      </c>
    </row>
    <row r="252" spans="1:18" x14ac:dyDescent="0.25">
      <c r="A252" s="1">
        <v>45975</v>
      </c>
      <c r="B252" s="1">
        <v>3</v>
      </c>
      <c r="C252" s="5">
        <v>31</v>
      </c>
      <c r="D252" s="5">
        <v>63859</v>
      </c>
      <c r="E252" s="7" t="str">
        <f t="shared" si="6"/>
        <v>003100063859</v>
      </c>
      <c r="F252" s="7" t="str">
        <f t="shared" si="7"/>
        <v>30614967125003100063859</v>
      </c>
      <c r="G252" s="5">
        <v>75465915970093</v>
      </c>
      <c r="H252" s="1">
        <v>80</v>
      </c>
      <c r="I252" s="5">
        <v>30614967125</v>
      </c>
      <c r="J252" s="1" t="s">
        <v>219</v>
      </c>
      <c r="K252" s="5">
        <v>1</v>
      </c>
      <c r="L252" s="1" t="s">
        <v>168</v>
      </c>
      <c r="M252" s="2">
        <v>2941934.9</v>
      </c>
      <c r="N252" s="5">
        <v>0</v>
      </c>
      <c r="O252" s="5">
        <v>0</v>
      </c>
      <c r="P252" s="2">
        <v>0</v>
      </c>
      <c r="Q252" s="2">
        <v>617806.32999999996</v>
      </c>
      <c r="R252" s="2">
        <v>3559741.25</v>
      </c>
    </row>
    <row r="253" spans="1:18" x14ac:dyDescent="0.25">
      <c r="A253" s="1">
        <v>45975</v>
      </c>
      <c r="B253" s="1">
        <v>3</v>
      </c>
      <c r="C253" s="5">
        <v>201</v>
      </c>
      <c r="D253" s="5">
        <v>270378</v>
      </c>
      <c r="E253" s="7" t="str">
        <f t="shared" si="6"/>
        <v>020100270378</v>
      </c>
      <c r="F253" s="7" t="str">
        <f t="shared" si="7"/>
        <v>30500529071020100270378</v>
      </c>
      <c r="G253" s="5">
        <v>35431670074949</v>
      </c>
      <c r="H253" s="1">
        <v>80</v>
      </c>
      <c r="I253" s="5">
        <v>30500529071</v>
      </c>
      <c r="J253" s="1" t="s">
        <v>179</v>
      </c>
      <c r="K253" s="5">
        <v>1</v>
      </c>
      <c r="L253" s="1" t="s">
        <v>168</v>
      </c>
      <c r="M253" s="2">
        <v>4712.8999999999996</v>
      </c>
      <c r="N253" s="5"/>
      <c r="O253" s="5"/>
      <c r="P253" s="5">
        <v>141.38999999999999</v>
      </c>
      <c r="Q253" s="2">
        <v>989.71</v>
      </c>
      <c r="R253" s="5">
        <v>5843.99</v>
      </c>
    </row>
    <row r="254" spans="1:18" x14ac:dyDescent="0.25">
      <c r="A254" s="1">
        <v>45975</v>
      </c>
      <c r="B254" s="1">
        <v>3</v>
      </c>
      <c r="C254" s="5">
        <v>201</v>
      </c>
      <c r="D254" s="5">
        <v>270409</v>
      </c>
      <c r="E254" s="7" t="str">
        <f t="shared" si="6"/>
        <v>020100270409</v>
      </c>
      <c r="F254" s="7" t="str">
        <f t="shared" si="7"/>
        <v>30500529071020100270409</v>
      </c>
      <c r="G254" s="5">
        <v>35431670074949</v>
      </c>
      <c r="H254" s="1">
        <v>80</v>
      </c>
      <c r="I254" s="5">
        <v>30500529071</v>
      </c>
      <c r="J254" s="1" t="s">
        <v>179</v>
      </c>
      <c r="K254" s="5">
        <v>1</v>
      </c>
      <c r="L254" s="1" t="s">
        <v>168</v>
      </c>
      <c r="M254" s="2">
        <v>542578.76</v>
      </c>
      <c r="N254" s="5"/>
      <c r="O254" s="5"/>
      <c r="P254" s="5">
        <v>16277.36</v>
      </c>
      <c r="Q254" s="2">
        <v>113941.54</v>
      </c>
      <c r="R254" s="5">
        <v>672797.64</v>
      </c>
    </row>
    <row r="255" spans="1:18" x14ac:dyDescent="0.25">
      <c r="A255" s="1">
        <v>45977</v>
      </c>
      <c r="B255" s="1">
        <v>1</v>
      </c>
      <c r="C255" s="5">
        <v>5025</v>
      </c>
      <c r="D255" s="5">
        <v>111421</v>
      </c>
      <c r="E255" s="7" t="str">
        <f t="shared" si="6"/>
        <v>502500111421</v>
      </c>
      <c r="F255" s="7" t="str">
        <f t="shared" si="7"/>
        <v>30574876474502500111421</v>
      </c>
      <c r="G255" s="5">
        <v>75464137011901</v>
      </c>
      <c r="H255" s="1">
        <v>80</v>
      </c>
      <c r="I255" s="5">
        <v>30574876474</v>
      </c>
      <c r="J255" s="1" t="s">
        <v>327</v>
      </c>
      <c r="K255" s="5">
        <v>1</v>
      </c>
      <c r="L255" s="1" t="s">
        <v>168</v>
      </c>
      <c r="M255" s="2">
        <v>4016.99</v>
      </c>
      <c r="N255" s="1">
        <v>0</v>
      </c>
      <c r="O255" s="1">
        <v>0</v>
      </c>
      <c r="P255" s="5">
        <v>642.72</v>
      </c>
      <c r="Q255" s="2">
        <v>843.57</v>
      </c>
      <c r="R255" s="2">
        <v>5503.28</v>
      </c>
    </row>
    <row r="256" spans="1:18" x14ac:dyDescent="0.25">
      <c r="A256" s="1">
        <v>45977</v>
      </c>
      <c r="B256" s="1">
        <v>1</v>
      </c>
      <c r="C256" s="5">
        <v>3</v>
      </c>
      <c r="D256" s="5">
        <v>21828</v>
      </c>
      <c r="E256" s="7" t="str">
        <f t="shared" si="6"/>
        <v>000300021828</v>
      </c>
      <c r="F256" s="7" t="str">
        <f t="shared" si="7"/>
        <v>30717624129000300021828</v>
      </c>
      <c r="G256" s="5">
        <v>75469170981576</v>
      </c>
      <c r="H256" s="1">
        <v>80</v>
      </c>
      <c r="I256" s="5">
        <v>30717624129</v>
      </c>
      <c r="J256" s="1" t="s">
        <v>912</v>
      </c>
      <c r="K256" s="5">
        <v>1</v>
      </c>
      <c r="L256" s="1" t="s">
        <v>168</v>
      </c>
      <c r="M256" s="2">
        <v>57847.11</v>
      </c>
      <c r="N256" s="5">
        <v>0</v>
      </c>
      <c r="O256" s="5">
        <v>0</v>
      </c>
      <c r="P256" s="5">
        <v>0</v>
      </c>
      <c r="Q256" s="2">
        <v>12147.89</v>
      </c>
      <c r="R256" s="2">
        <v>69995</v>
      </c>
    </row>
    <row r="257" spans="1:18" x14ac:dyDescent="0.25">
      <c r="A257" s="1">
        <v>45978</v>
      </c>
      <c r="B257" s="1">
        <v>1</v>
      </c>
      <c r="C257" s="5">
        <v>3</v>
      </c>
      <c r="D257" s="5">
        <v>44682</v>
      </c>
      <c r="E257" s="7" t="str">
        <f t="shared" si="6"/>
        <v>000300044682</v>
      </c>
      <c r="F257" s="7" t="str">
        <f t="shared" si="7"/>
        <v>20119547459000300044682</v>
      </c>
      <c r="G257" s="5">
        <v>75469240634608</v>
      </c>
      <c r="H257" s="1">
        <v>80</v>
      </c>
      <c r="I257" s="5">
        <v>20119547459</v>
      </c>
      <c r="J257" s="1" t="s">
        <v>703</v>
      </c>
      <c r="K257" s="5">
        <v>1</v>
      </c>
      <c r="L257" s="1" t="s">
        <v>168</v>
      </c>
      <c r="M257" s="2">
        <v>20229.21</v>
      </c>
      <c r="N257" s="5">
        <v>0</v>
      </c>
      <c r="O257" s="5">
        <v>0</v>
      </c>
      <c r="P257" s="2">
        <v>0</v>
      </c>
      <c r="Q257" s="2">
        <v>4248.13</v>
      </c>
      <c r="R257" s="2">
        <v>24477.34</v>
      </c>
    </row>
    <row r="258" spans="1:18" x14ac:dyDescent="0.25">
      <c r="A258" s="1">
        <v>45978</v>
      </c>
      <c r="B258" s="1">
        <v>1</v>
      </c>
      <c r="C258" s="5">
        <v>1203</v>
      </c>
      <c r="D258" s="5">
        <v>598</v>
      </c>
      <c r="E258" s="7" t="str">
        <f t="shared" si="6"/>
        <v>120300000598</v>
      </c>
      <c r="F258" s="7" t="str">
        <f t="shared" si="7"/>
        <v>30708492945120300000598</v>
      </c>
      <c r="G258" s="5">
        <v>75465237820016</v>
      </c>
      <c r="H258" s="1">
        <v>80</v>
      </c>
      <c r="I258" s="5">
        <v>30708492945</v>
      </c>
      <c r="J258" s="1" t="s">
        <v>312</v>
      </c>
      <c r="K258" s="5">
        <v>1425.0216</v>
      </c>
      <c r="L258" s="1" t="s">
        <v>206</v>
      </c>
      <c r="M258" s="2">
        <v>218.4</v>
      </c>
      <c r="N258" s="1">
        <v>0</v>
      </c>
      <c r="O258" s="1">
        <v>0</v>
      </c>
      <c r="P258" s="5">
        <v>0</v>
      </c>
      <c r="Q258" s="2">
        <v>45.86</v>
      </c>
      <c r="R258" s="1">
        <v>264.26</v>
      </c>
    </row>
    <row r="259" spans="1:18" x14ac:dyDescent="0.25">
      <c r="A259" s="1">
        <v>45978</v>
      </c>
      <c r="B259" s="1">
        <v>1</v>
      </c>
      <c r="C259" s="5">
        <v>1203</v>
      </c>
      <c r="D259" s="5">
        <v>599</v>
      </c>
      <c r="E259" s="7" t="str">
        <f t="shared" ref="E259:E322" si="8">TEXT(C259,"0000")&amp;TEXT(D259,"00000000")</f>
        <v>120300000599</v>
      </c>
      <c r="F259" s="7" t="str">
        <f t="shared" ref="F259:F322" si="9">I259&amp;E259</f>
        <v>30708492945120300000599</v>
      </c>
      <c r="G259" s="5">
        <v>75465237821868</v>
      </c>
      <c r="H259" s="1">
        <v>80</v>
      </c>
      <c r="I259" s="5">
        <v>30708492945</v>
      </c>
      <c r="J259" s="1" t="s">
        <v>312</v>
      </c>
      <c r="K259" s="5">
        <v>1424.9409000000001</v>
      </c>
      <c r="L259" s="1" t="s">
        <v>206</v>
      </c>
      <c r="M259" s="2">
        <v>59.7</v>
      </c>
      <c r="N259" s="1">
        <v>0</v>
      </c>
      <c r="O259" s="1">
        <v>0</v>
      </c>
      <c r="P259" s="5">
        <v>0</v>
      </c>
      <c r="Q259" s="2">
        <v>12.54</v>
      </c>
      <c r="R259" s="2">
        <v>72.239999999999995</v>
      </c>
    </row>
    <row r="260" spans="1:18" x14ac:dyDescent="0.25">
      <c r="A260" s="1">
        <v>45978</v>
      </c>
      <c r="B260" s="1">
        <v>1</v>
      </c>
      <c r="C260" s="5">
        <v>115</v>
      </c>
      <c r="D260" s="5">
        <v>9269</v>
      </c>
      <c r="E260" s="7" t="str">
        <f t="shared" si="8"/>
        <v>011500009269</v>
      </c>
      <c r="F260" s="7" t="str">
        <f t="shared" si="9"/>
        <v>30698548289011500009269</v>
      </c>
      <c r="G260" s="5">
        <v>75469237853719</v>
      </c>
      <c r="H260" s="1">
        <v>80</v>
      </c>
      <c r="I260" s="5">
        <v>30698548289</v>
      </c>
      <c r="J260" s="1" t="s">
        <v>323</v>
      </c>
      <c r="K260" s="5">
        <v>1</v>
      </c>
      <c r="L260" s="1" t="s">
        <v>168</v>
      </c>
      <c r="M260" s="1">
        <v>73485.19</v>
      </c>
      <c r="N260" s="1">
        <v>0</v>
      </c>
      <c r="O260" s="1">
        <v>0</v>
      </c>
      <c r="P260" s="5">
        <v>11083.11</v>
      </c>
      <c r="Q260" s="1">
        <v>15431.89</v>
      </c>
      <c r="R260" s="2">
        <v>100000.19</v>
      </c>
    </row>
    <row r="261" spans="1:18" x14ac:dyDescent="0.25">
      <c r="A261" s="1">
        <v>45978</v>
      </c>
      <c r="B261" s="1">
        <v>1</v>
      </c>
      <c r="C261" s="5">
        <v>8</v>
      </c>
      <c r="D261" s="5">
        <v>3313</v>
      </c>
      <c r="E261" s="7" t="str">
        <f t="shared" si="8"/>
        <v>000800003313</v>
      </c>
      <c r="F261" s="7" t="str">
        <f t="shared" si="9"/>
        <v>30718196090000800003313</v>
      </c>
      <c r="G261" s="5">
        <v>75460247406929</v>
      </c>
      <c r="H261" s="1">
        <v>80</v>
      </c>
      <c r="I261" s="5">
        <v>30718196090</v>
      </c>
      <c r="J261" s="1" t="s">
        <v>913</v>
      </c>
      <c r="K261" s="5">
        <v>1</v>
      </c>
      <c r="L261" s="1" t="s">
        <v>168</v>
      </c>
      <c r="M261" s="1">
        <v>36114.92</v>
      </c>
      <c r="N261" s="1">
        <v>0</v>
      </c>
      <c r="O261" s="1">
        <v>0</v>
      </c>
      <c r="P261" s="5">
        <v>0</v>
      </c>
      <c r="Q261" s="1">
        <v>7584.13</v>
      </c>
      <c r="R261" s="5">
        <v>43699.05</v>
      </c>
    </row>
    <row r="262" spans="1:18" x14ac:dyDescent="0.25">
      <c r="A262" s="1">
        <v>45978</v>
      </c>
      <c r="B262" s="1">
        <v>1</v>
      </c>
      <c r="C262" s="5">
        <v>4264</v>
      </c>
      <c r="D262" s="5">
        <v>6145012</v>
      </c>
      <c r="E262" s="7" t="str">
        <f t="shared" si="8"/>
        <v>426406145012</v>
      </c>
      <c r="F262" s="7" t="str">
        <f t="shared" si="9"/>
        <v>30639453738426406145012</v>
      </c>
      <c r="G262" s="5">
        <v>75468378233836</v>
      </c>
      <c r="H262" s="1">
        <v>80</v>
      </c>
      <c r="I262" s="5">
        <v>30639453738</v>
      </c>
      <c r="J262" s="1" t="s">
        <v>118</v>
      </c>
      <c r="K262" s="5">
        <v>1</v>
      </c>
      <c r="L262" s="1" t="s">
        <v>168</v>
      </c>
      <c r="M262" s="2">
        <v>56025</v>
      </c>
      <c r="N262" s="5">
        <v>0</v>
      </c>
      <c r="O262" s="5">
        <v>0</v>
      </c>
      <c r="P262" s="5">
        <v>1680.75</v>
      </c>
      <c r="Q262" s="2">
        <v>11765.25</v>
      </c>
      <c r="R262" s="2">
        <v>69471</v>
      </c>
    </row>
    <row r="263" spans="1:18" x14ac:dyDescent="0.25">
      <c r="A263" s="1">
        <v>45978</v>
      </c>
      <c r="B263" s="1">
        <v>1</v>
      </c>
      <c r="C263" s="5">
        <v>4264</v>
      </c>
      <c r="D263" s="5">
        <v>6146533</v>
      </c>
      <c r="E263" s="7" t="str">
        <f t="shared" si="8"/>
        <v>426406146533</v>
      </c>
      <c r="F263" s="7" t="str">
        <f t="shared" si="9"/>
        <v>30639453738426406146533</v>
      </c>
      <c r="G263" s="5">
        <v>75468378361233</v>
      </c>
      <c r="H263" s="1">
        <v>80</v>
      </c>
      <c r="I263" s="5">
        <v>30639453738</v>
      </c>
      <c r="J263" s="1" t="s">
        <v>118</v>
      </c>
      <c r="K263" s="5">
        <v>1</v>
      </c>
      <c r="L263" s="1" t="s">
        <v>168</v>
      </c>
      <c r="M263" s="2">
        <v>44820</v>
      </c>
      <c r="N263" s="5">
        <v>0</v>
      </c>
      <c r="O263" s="5">
        <v>0</v>
      </c>
      <c r="P263" s="5">
        <v>1344.6</v>
      </c>
      <c r="Q263" s="2">
        <v>9412.2000000000007</v>
      </c>
      <c r="R263" s="5">
        <v>55576.800000000003</v>
      </c>
    </row>
    <row r="264" spans="1:18" x14ac:dyDescent="0.25">
      <c r="A264" s="1">
        <v>45978</v>
      </c>
      <c r="B264" s="1">
        <v>1</v>
      </c>
      <c r="C264" s="5">
        <v>4264</v>
      </c>
      <c r="D264" s="5">
        <v>6153564</v>
      </c>
      <c r="E264" s="7" t="str">
        <f t="shared" si="8"/>
        <v>426406153564</v>
      </c>
      <c r="F264" s="7" t="str">
        <f t="shared" si="9"/>
        <v>30639453738426406153564</v>
      </c>
      <c r="G264" s="5">
        <v>75468378958810</v>
      </c>
      <c r="H264" s="1">
        <v>80</v>
      </c>
      <c r="I264" s="5">
        <v>30639453738</v>
      </c>
      <c r="J264" s="1" t="s">
        <v>118</v>
      </c>
      <c r="K264" s="5">
        <v>1</v>
      </c>
      <c r="L264" s="1" t="s">
        <v>168</v>
      </c>
      <c r="M264" s="2">
        <v>44505</v>
      </c>
      <c r="N264" s="5">
        <v>0</v>
      </c>
      <c r="O264" s="5">
        <v>0</v>
      </c>
      <c r="P264" s="5">
        <v>1335.15</v>
      </c>
      <c r="Q264" s="2">
        <v>9346.0499999999993</v>
      </c>
      <c r="R264" s="5">
        <v>55186.2</v>
      </c>
    </row>
    <row r="265" spans="1:18" x14ac:dyDescent="0.25">
      <c r="A265" s="1">
        <v>45978</v>
      </c>
      <c r="B265" s="1">
        <v>1</v>
      </c>
      <c r="C265" s="5">
        <v>4264</v>
      </c>
      <c r="D265" s="5">
        <v>6155565</v>
      </c>
      <c r="E265" s="7" t="str">
        <f t="shared" si="8"/>
        <v>426406155565</v>
      </c>
      <c r="F265" s="7" t="str">
        <f t="shared" si="9"/>
        <v>30639453738426406155565</v>
      </c>
      <c r="G265" s="5">
        <v>75468379114738</v>
      </c>
      <c r="H265" s="1">
        <v>80</v>
      </c>
      <c r="I265" s="5">
        <v>30639453738</v>
      </c>
      <c r="J265" s="1" t="s">
        <v>118</v>
      </c>
      <c r="K265" s="5">
        <v>1</v>
      </c>
      <c r="L265" s="1" t="s">
        <v>168</v>
      </c>
      <c r="M265" s="5">
        <v>53960</v>
      </c>
      <c r="N265" s="5">
        <v>0</v>
      </c>
      <c r="O265" s="5">
        <v>0</v>
      </c>
      <c r="P265" s="5">
        <v>1618.8</v>
      </c>
      <c r="Q265" s="1">
        <v>11331.6</v>
      </c>
      <c r="R265" s="1">
        <v>66910.399999999994</v>
      </c>
    </row>
    <row r="266" spans="1:18" x14ac:dyDescent="0.25">
      <c r="A266" s="1">
        <v>45978</v>
      </c>
      <c r="B266" s="1">
        <v>1</v>
      </c>
      <c r="C266" s="5">
        <v>4264</v>
      </c>
      <c r="D266" s="5">
        <v>6160351</v>
      </c>
      <c r="E266" s="7" t="str">
        <f t="shared" si="8"/>
        <v>426406160351</v>
      </c>
      <c r="F266" s="7" t="str">
        <f t="shared" si="9"/>
        <v>30639453738426406160351</v>
      </c>
      <c r="G266" s="5">
        <v>75468379487110</v>
      </c>
      <c r="H266" s="1">
        <v>80</v>
      </c>
      <c r="I266" s="5">
        <v>30639453738</v>
      </c>
      <c r="J266" s="1" t="s">
        <v>118</v>
      </c>
      <c r="K266" s="5">
        <v>1</v>
      </c>
      <c r="L266" s="1" t="s">
        <v>168</v>
      </c>
      <c r="M266" s="2">
        <v>44820</v>
      </c>
      <c r="N266" s="5">
        <v>0</v>
      </c>
      <c r="O266" s="5">
        <v>0</v>
      </c>
      <c r="P266" s="5">
        <v>1344.6</v>
      </c>
      <c r="Q266" s="2">
        <v>9412.2000000000007</v>
      </c>
      <c r="R266" s="2">
        <v>55576.800000000003</v>
      </c>
    </row>
    <row r="267" spans="1:18" x14ac:dyDescent="0.25">
      <c r="A267" s="1">
        <v>45978</v>
      </c>
      <c r="B267" s="1">
        <v>1</v>
      </c>
      <c r="C267" s="5">
        <v>4264</v>
      </c>
      <c r="D267" s="5">
        <v>6162088</v>
      </c>
      <c r="E267" s="7" t="str">
        <f t="shared" si="8"/>
        <v>426406162088</v>
      </c>
      <c r="F267" s="7" t="str">
        <f t="shared" si="9"/>
        <v>30639453738426406162088</v>
      </c>
      <c r="G267" s="5">
        <v>75468379632855</v>
      </c>
      <c r="H267" s="1">
        <v>80</v>
      </c>
      <c r="I267" s="5">
        <v>30639453738</v>
      </c>
      <c r="J267" s="1" t="s">
        <v>118</v>
      </c>
      <c r="K267" s="5">
        <v>1</v>
      </c>
      <c r="L267" s="1" t="s">
        <v>168</v>
      </c>
      <c r="M267" s="2">
        <v>57198.35</v>
      </c>
      <c r="N267" s="5">
        <v>0</v>
      </c>
      <c r="O267" s="5">
        <v>0</v>
      </c>
      <c r="P267" s="5">
        <v>1715.95</v>
      </c>
      <c r="Q267" s="2">
        <v>12011.65</v>
      </c>
      <c r="R267" s="5">
        <v>70925.95</v>
      </c>
    </row>
    <row r="268" spans="1:18" x14ac:dyDescent="0.25">
      <c r="A268" s="1">
        <v>45978</v>
      </c>
      <c r="B268" s="1">
        <v>1</v>
      </c>
      <c r="C268" s="5">
        <v>4264</v>
      </c>
      <c r="D268" s="5">
        <v>6134179</v>
      </c>
      <c r="E268" s="7" t="str">
        <f t="shared" si="8"/>
        <v>426406134179</v>
      </c>
      <c r="F268" s="7" t="str">
        <f t="shared" si="9"/>
        <v>30639453738426406134179</v>
      </c>
      <c r="G268" s="5">
        <v>75468376909880</v>
      </c>
      <c r="H268" s="1">
        <v>80</v>
      </c>
      <c r="I268" s="5">
        <v>30639453738</v>
      </c>
      <c r="J268" s="1" t="s">
        <v>118</v>
      </c>
      <c r="K268" s="5">
        <v>1</v>
      </c>
      <c r="L268" s="1" t="s">
        <v>168</v>
      </c>
      <c r="M268" s="2">
        <v>207690</v>
      </c>
      <c r="N268" s="5">
        <v>0</v>
      </c>
      <c r="O268" s="5">
        <v>0</v>
      </c>
      <c r="P268" s="5">
        <v>6230.7</v>
      </c>
      <c r="Q268" s="2">
        <v>43614.9</v>
      </c>
      <c r="R268" s="2">
        <v>257535.6</v>
      </c>
    </row>
    <row r="269" spans="1:18" x14ac:dyDescent="0.25">
      <c r="A269" s="1">
        <v>45978</v>
      </c>
      <c r="B269" s="1">
        <v>1</v>
      </c>
      <c r="C269" s="5">
        <v>5</v>
      </c>
      <c r="D269" s="5">
        <v>509</v>
      </c>
      <c r="E269" s="7" t="str">
        <f t="shared" si="8"/>
        <v>000500000509</v>
      </c>
      <c r="F269" s="7" t="str">
        <f t="shared" si="9"/>
        <v>20177699889000500000509</v>
      </c>
      <c r="G269" s="5">
        <v>75469299837780</v>
      </c>
      <c r="H269" s="1">
        <v>80</v>
      </c>
      <c r="I269" s="5">
        <v>20177699889</v>
      </c>
      <c r="J269" s="1" t="s">
        <v>250</v>
      </c>
      <c r="K269" s="5">
        <v>1</v>
      </c>
      <c r="L269" s="1" t="s">
        <v>168</v>
      </c>
      <c r="M269" s="2">
        <v>36363.620000000003</v>
      </c>
      <c r="N269" s="5">
        <v>0</v>
      </c>
      <c r="O269" s="5">
        <v>0</v>
      </c>
      <c r="P269" s="5">
        <v>0</v>
      </c>
      <c r="Q269" s="2">
        <v>7636.36</v>
      </c>
      <c r="R269" s="2">
        <v>44000</v>
      </c>
    </row>
    <row r="270" spans="1:18" x14ac:dyDescent="0.25">
      <c r="A270" s="1">
        <v>45978</v>
      </c>
      <c r="B270" s="1">
        <v>1</v>
      </c>
      <c r="C270" s="5">
        <v>3</v>
      </c>
      <c r="D270" s="5">
        <v>155</v>
      </c>
      <c r="E270" s="7" t="str">
        <f t="shared" si="8"/>
        <v>000300000155</v>
      </c>
      <c r="F270" s="7" t="str">
        <f t="shared" si="9"/>
        <v>27382881546000300000155</v>
      </c>
      <c r="G270" s="5">
        <v>75466230631910</v>
      </c>
      <c r="H270" s="1">
        <v>80</v>
      </c>
      <c r="I270" s="5">
        <v>27382881546</v>
      </c>
      <c r="J270" s="1" t="s">
        <v>914</v>
      </c>
      <c r="K270" s="5">
        <v>1</v>
      </c>
      <c r="L270" s="1" t="s">
        <v>168</v>
      </c>
      <c r="M270" s="2">
        <v>17355</v>
      </c>
      <c r="N270" s="5">
        <v>0</v>
      </c>
      <c r="O270" s="5">
        <v>0</v>
      </c>
      <c r="P270" s="5">
        <v>0</v>
      </c>
      <c r="Q270" s="2">
        <v>3644.55</v>
      </c>
      <c r="R270" s="2">
        <v>20999.55</v>
      </c>
    </row>
    <row r="271" spans="1:18" x14ac:dyDescent="0.25">
      <c r="A271" s="1">
        <v>45978</v>
      </c>
      <c r="B271" s="1">
        <v>1</v>
      </c>
      <c r="C271" s="5">
        <v>3</v>
      </c>
      <c r="D271" s="5">
        <v>3695</v>
      </c>
      <c r="E271" s="7" t="str">
        <f t="shared" si="8"/>
        <v>000300003695</v>
      </c>
      <c r="F271" s="7" t="str">
        <f t="shared" si="9"/>
        <v>27147354466000300003695</v>
      </c>
      <c r="G271" s="5">
        <v>75466295398927</v>
      </c>
      <c r="H271" s="1">
        <v>80</v>
      </c>
      <c r="I271" s="5">
        <v>27147354466</v>
      </c>
      <c r="J271" s="1" t="s">
        <v>915</v>
      </c>
      <c r="K271" s="5">
        <v>1</v>
      </c>
      <c r="L271" s="1" t="s">
        <v>168</v>
      </c>
      <c r="M271" s="1">
        <v>28513</v>
      </c>
      <c r="N271" s="5">
        <v>0</v>
      </c>
      <c r="O271" s="5">
        <v>0</v>
      </c>
      <c r="P271" s="5">
        <v>0</v>
      </c>
      <c r="Q271" s="1">
        <v>5987.73</v>
      </c>
      <c r="R271" s="5">
        <v>34500.730000000003</v>
      </c>
    </row>
    <row r="272" spans="1:18" x14ac:dyDescent="0.25">
      <c r="A272" s="1">
        <v>45978</v>
      </c>
      <c r="B272" s="1">
        <v>1</v>
      </c>
      <c r="C272" s="5">
        <v>267</v>
      </c>
      <c r="D272" s="5">
        <v>907946</v>
      </c>
      <c r="E272" s="7" t="str">
        <f t="shared" si="8"/>
        <v>026700907946</v>
      </c>
      <c r="F272" s="7" t="str">
        <f t="shared" si="9"/>
        <v>30500529454026700907946</v>
      </c>
      <c r="G272" s="5">
        <v>75464190922252</v>
      </c>
      <c r="H272" s="1">
        <v>80</v>
      </c>
      <c r="I272" s="5">
        <v>30500529454</v>
      </c>
      <c r="J272" s="1" t="s">
        <v>309</v>
      </c>
      <c r="K272" s="5">
        <v>1</v>
      </c>
      <c r="L272" s="1" t="s">
        <v>168</v>
      </c>
      <c r="M272" s="2">
        <v>58106104.380000003</v>
      </c>
      <c r="N272" s="5">
        <v>0</v>
      </c>
      <c r="O272" s="5">
        <v>0</v>
      </c>
      <c r="P272" s="5">
        <v>3195835.73</v>
      </c>
      <c r="Q272" s="2">
        <v>12202281.92</v>
      </c>
      <c r="R272" s="2">
        <v>73504222.010000005</v>
      </c>
    </row>
    <row r="273" spans="1:18" x14ac:dyDescent="0.25">
      <c r="A273" s="1">
        <v>45978</v>
      </c>
      <c r="B273" s="1">
        <v>1</v>
      </c>
      <c r="C273" s="5">
        <v>267</v>
      </c>
      <c r="D273" s="5">
        <v>907950</v>
      </c>
      <c r="E273" s="7" t="str">
        <f t="shared" si="8"/>
        <v>026700907950</v>
      </c>
      <c r="F273" s="7" t="str">
        <f t="shared" si="9"/>
        <v>30500529454026700907950</v>
      </c>
      <c r="G273" s="5">
        <v>75464191046080</v>
      </c>
      <c r="H273" s="1">
        <v>80</v>
      </c>
      <c r="I273" s="5">
        <v>30500529454</v>
      </c>
      <c r="J273" s="1" t="s">
        <v>309</v>
      </c>
      <c r="K273" s="5">
        <v>1</v>
      </c>
      <c r="L273" s="1" t="s">
        <v>168</v>
      </c>
      <c r="M273" s="5">
        <v>16521615.33</v>
      </c>
      <c r="N273" s="5">
        <v>0</v>
      </c>
      <c r="O273" s="5">
        <v>0</v>
      </c>
      <c r="P273" s="5">
        <v>908688.84</v>
      </c>
      <c r="Q273" s="2">
        <v>3469539.22</v>
      </c>
      <c r="R273" s="2">
        <v>20899843.329999998</v>
      </c>
    </row>
    <row r="274" spans="1:18" x14ac:dyDescent="0.25">
      <c r="A274" s="1">
        <v>45978</v>
      </c>
      <c r="B274" s="1">
        <v>1</v>
      </c>
      <c r="C274" s="5">
        <v>267</v>
      </c>
      <c r="D274" s="5">
        <v>907951</v>
      </c>
      <c r="E274" s="7" t="str">
        <f t="shared" si="8"/>
        <v>026700907951</v>
      </c>
      <c r="F274" s="7" t="str">
        <f t="shared" si="9"/>
        <v>30500529454026700907951</v>
      </c>
      <c r="G274" s="5">
        <v>75464191077336</v>
      </c>
      <c r="H274" s="1">
        <v>80</v>
      </c>
      <c r="I274" s="5">
        <v>30500529454</v>
      </c>
      <c r="J274" s="1" t="s">
        <v>309</v>
      </c>
      <c r="K274" s="5">
        <v>1</v>
      </c>
      <c r="L274" s="1" t="s">
        <v>168</v>
      </c>
      <c r="M274" s="1">
        <v>24969251.140000001</v>
      </c>
      <c r="N274" s="1">
        <v>0</v>
      </c>
      <c r="O274" s="1">
        <v>0</v>
      </c>
      <c r="P274" s="5">
        <v>1373308.81</v>
      </c>
      <c r="Q274" s="2">
        <v>5243542.74</v>
      </c>
      <c r="R274" s="2">
        <v>31586102.710000001</v>
      </c>
    </row>
    <row r="275" spans="1:18" x14ac:dyDescent="0.25">
      <c r="A275" s="1">
        <v>45978</v>
      </c>
      <c r="B275" s="1">
        <v>3</v>
      </c>
      <c r="C275" s="5">
        <v>2</v>
      </c>
      <c r="D275" s="5">
        <v>8038</v>
      </c>
      <c r="E275" s="7" t="str">
        <f t="shared" si="8"/>
        <v>000200008038</v>
      </c>
      <c r="F275" s="7" t="str">
        <f t="shared" si="9"/>
        <v>33620532229000200008038</v>
      </c>
      <c r="G275" s="5">
        <v>75469237948580</v>
      </c>
      <c r="H275" s="1">
        <v>80</v>
      </c>
      <c r="I275" s="5">
        <v>33620532229</v>
      </c>
      <c r="J275" s="1" t="s">
        <v>308</v>
      </c>
      <c r="K275" s="5">
        <v>1</v>
      </c>
      <c r="L275" s="1" t="s">
        <v>168</v>
      </c>
      <c r="M275" s="2">
        <v>1144800.07</v>
      </c>
      <c r="N275" s="1">
        <v>0</v>
      </c>
      <c r="O275" s="1">
        <v>0</v>
      </c>
      <c r="P275" s="5">
        <v>0</v>
      </c>
      <c r="Q275" s="2">
        <v>240408.01</v>
      </c>
      <c r="R275" s="2">
        <v>1385208.08</v>
      </c>
    </row>
    <row r="276" spans="1:18" x14ac:dyDescent="0.25">
      <c r="A276" s="1">
        <v>45978</v>
      </c>
      <c r="B276" s="1">
        <v>11</v>
      </c>
      <c r="C276" s="5">
        <v>2</v>
      </c>
      <c r="D276" s="5">
        <v>42</v>
      </c>
      <c r="E276" s="7" t="str">
        <f t="shared" si="8"/>
        <v>000200000042</v>
      </c>
      <c r="F276" s="7" t="str">
        <f t="shared" si="9"/>
        <v>27233904738000200000042</v>
      </c>
      <c r="G276" s="5">
        <v>75478458033601</v>
      </c>
      <c r="H276" s="1">
        <v>80</v>
      </c>
      <c r="I276" s="5">
        <v>27233904738</v>
      </c>
      <c r="J276" s="1" t="s">
        <v>713</v>
      </c>
      <c r="K276" s="5">
        <v>1</v>
      </c>
      <c r="L276" s="1" t="s">
        <v>168</v>
      </c>
      <c r="M276" s="1">
        <v>0</v>
      </c>
      <c r="N276" s="1">
        <v>0</v>
      </c>
      <c r="O276" s="1">
        <v>0</v>
      </c>
      <c r="P276" s="5">
        <v>0</v>
      </c>
      <c r="Q276" s="2">
        <v>0</v>
      </c>
      <c r="R276" s="2">
        <v>1691500</v>
      </c>
    </row>
    <row r="277" spans="1:18" x14ac:dyDescent="0.25">
      <c r="A277" s="1">
        <v>45978</v>
      </c>
      <c r="B277" s="1">
        <v>15</v>
      </c>
      <c r="C277" s="5">
        <v>3</v>
      </c>
      <c r="D277" s="5">
        <v>750</v>
      </c>
      <c r="E277" s="7" t="str">
        <f t="shared" si="8"/>
        <v>000300000750</v>
      </c>
      <c r="F277" s="7" t="str">
        <f t="shared" si="9"/>
        <v>30710468695000300000750</v>
      </c>
      <c r="G277" s="5">
        <v>75475140292344</v>
      </c>
      <c r="H277" s="1">
        <v>80</v>
      </c>
      <c r="I277" s="5">
        <v>30710468695</v>
      </c>
      <c r="J277" s="1" t="s">
        <v>888</v>
      </c>
      <c r="K277" s="5">
        <v>1</v>
      </c>
      <c r="L277" s="1" t="s">
        <v>168</v>
      </c>
      <c r="M277" s="2">
        <v>0</v>
      </c>
      <c r="N277" s="1">
        <v>0</v>
      </c>
      <c r="O277" s="1">
        <v>0</v>
      </c>
      <c r="P277" s="5">
        <v>0</v>
      </c>
      <c r="Q277" s="5">
        <v>0</v>
      </c>
      <c r="R277" s="2">
        <v>10667.14</v>
      </c>
    </row>
    <row r="278" spans="1:18" x14ac:dyDescent="0.25">
      <c r="A278" s="1">
        <v>45979</v>
      </c>
      <c r="B278" s="1">
        <v>1</v>
      </c>
      <c r="C278" s="5">
        <v>8</v>
      </c>
      <c r="D278" s="5">
        <v>88121</v>
      </c>
      <c r="E278" s="7" t="str">
        <f t="shared" si="8"/>
        <v>000800088121</v>
      </c>
      <c r="F278" s="7" t="str">
        <f t="shared" si="9"/>
        <v>30536184054000800088121</v>
      </c>
      <c r="G278" s="5">
        <v>75464317389755</v>
      </c>
      <c r="H278" s="1">
        <v>80</v>
      </c>
      <c r="I278" s="5">
        <v>30536184054</v>
      </c>
      <c r="J278" s="1" t="s">
        <v>186</v>
      </c>
      <c r="K278" s="5">
        <v>1</v>
      </c>
      <c r="L278" s="1" t="s">
        <v>168</v>
      </c>
      <c r="M278" s="1">
        <v>207157.81</v>
      </c>
      <c r="N278" s="1">
        <v>0</v>
      </c>
      <c r="O278" s="1">
        <v>0</v>
      </c>
      <c r="P278" s="5">
        <v>5178.95</v>
      </c>
      <c r="Q278" s="2">
        <v>43503.14</v>
      </c>
      <c r="R278" s="2">
        <v>255839.9</v>
      </c>
    </row>
    <row r="279" spans="1:18" x14ac:dyDescent="0.25">
      <c r="A279" s="1">
        <v>45979</v>
      </c>
      <c r="B279" s="1">
        <v>1</v>
      </c>
      <c r="C279" s="5">
        <v>4</v>
      </c>
      <c r="D279" s="5">
        <v>2670</v>
      </c>
      <c r="E279" s="7" t="str">
        <f t="shared" si="8"/>
        <v>000400002670</v>
      </c>
      <c r="F279" s="7" t="str">
        <f t="shared" si="9"/>
        <v>20335001932000400002670</v>
      </c>
      <c r="G279" s="5">
        <v>75462329659326</v>
      </c>
      <c r="H279" s="1">
        <v>80</v>
      </c>
      <c r="I279" s="5">
        <v>20335001932</v>
      </c>
      <c r="J279" s="1" t="s">
        <v>196</v>
      </c>
      <c r="K279" s="5">
        <v>1</v>
      </c>
      <c r="L279" s="1" t="s">
        <v>168</v>
      </c>
      <c r="M279" s="2">
        <v>16942.150000000001</v>
      </c>
      <c r="N279" s="5">
        <v>0</v>
      </c>
      <c r="O279" s="5">
        <v>0</v>
      </c>
      <c r="P279" s="5">
        <v>0</v>
      </c>
      <c r="Q279" s="5">
        <v>3557.85</v>
      </c>
      <c r="R279" s="1">
        <v>20500</v>
      </c>
    </row>
    <row r="280" spans="1:18" x14ac:dyDescent="0.25">
      <c r="A280" s="1">
        <v>45979</v>
      </c>
      <c r="B280" s="1">
        <v>1</v>
      </c>
      <c r="C280" s="5">
        <v>6</v>
      </c>
      <c r="D280" s="5">
        <v>27970</v>
      </c>
      <c r="E280" s="7" t="str">
        <f t="shared" si="8"/>
        <v>000600027970</v>
      </c>
      <c r="F280" s="7" t="str">
        <f t="shared" si="9"/>
        <v>20188232990000600027970</v>
      </c>
      <c r="G280" s="5">
        <v>75460411060962</v>
      </c>
      <c r="H280" s="1">
        <v>80</v>
      </c>
      <c r="I280" s="5">
        <v>20188232990</v>
      </c>
      <c r="J280" s="1" t="s">
        <v>55</v>
      </c>
      <c r="K280" s="5">
        <v>1</v>
      </c>
      <c r="L280" s="1" t="s">
        <v>168</v>
      </c>
      <c r="M280" s="2">
        <v>97096.22</v>
      </c>
      <c r="N280" s="5">
        <v>0</v>
      </c>
      <c r="O280" s="5">
        <v>0</v>
      </c>
      <c r="P280" s="2">
        <v>0</v>
      </c>
      <c r="Q280" s="2">
        <v>20390.2</v>
      </c>
      <c r="R280" s="2">
        <v>117486.43</v>
      </c>
    </row>
    <row r="281" spans="1:18" x14ac:dyDescent="0.25">
      <c r="A281" s="1">
        <v>45979</v>
      </c>
      <c r="B281" s="1">
        <v>1</v>
      </c>
      <c r="C281" s="5">
        <v>4</v>
      </c>
      <c r="D281" s="5">
        <v>1608</v>
      </c>
      <c r="E281" s="7" t="str">
        <f t="shared" si="8"/>
        <v>000400001608</v>
      </c>
      <c r="F281" s="7" t="str">
        <f t="shared" si="9"/>
        <v>20167960252000400001608</v>
      </c>
      <c r="G281" s="5">
        <v>75462422764433</v>
      </c>
      <c r="H281" s="1">
        <v>80</v>
      </c>
      <c r="I281" s="5">
        <v>20167960252</v>
      </c>
      <c r="J281" s="1" t="s">
        <v>916</v>
      </c>
      <c r="K281" s="5">
        <v>1</v>
      </c>
      <c r="L281" s="1" t="s">
        <v>168</v>
      </c>
      <c r="M281" s="2">
        <v>27272.73</v>
      </c>
      <c r="N281" s="5">
        <v>0</v>
      </c>
      <c r="O281" s="5">
        <v>0</v>
      </c>
      <c r="P281" s="2">
        <v>0</v>
      </c>
      <c r="Q281" s="2">
        <v>5727.27</v>
      </c>
      <c r="R281" s="1">
        <v>33000</v>
      </c>
    </row>
    <row r="282" spans="1:18" x14ac:dyDescent="0.25">
      <c r="A282" s="1">
        <v>45979</v>
      </c>
      <c r="B282" s="1">
        <v>1</v>
      </c>
      <c r="C282" s="5">
        <v>23</v>
      </c>
      <c r="D282" s="5">
        <v>22808</v>
      </c>
      <c r="E282" s="7" t="str">
        <f t="shared" si="8"/>
        <v>002300022808</v>
      </c>
      <c r="F282" s="7" t="str">
        <f t="shared" si="9"/>
        <v>30715706934002300022808</v>
      </c>
      <c r="G282" s="5">
        <v>75464417055970</v>
      </c>
      <c r="H282" s="1">
        <v>80</v>
      </c>
      <c r="I282" s="5">
        <v>30715706934</v>
      </c>
      <c r="J282" s="1" t="s">
        <v>61</v>
      </c>
      <c r="K282" s="5">
        <v>1</v>
      </c>
      <c r="L282" s="1" t="s">
        <v>168</v>
      </c>
      <c r="M282" s="2">
        <v>51724.44</v>
      </c>
      <c r="N282" s="5">
        <v>0</v>
      </c>
      <c r="O282" s="5">
        <v>0</v>
      </c>
      <c r="P282" s="2">
        <v>7413.36</v>
      </c>
      <c r="Q282" s="2">
        <v>10862.13</v>
      </c>
      <c r="R282" s="1">
        <v>69999.929999999993</v>
      </c>
    </row>
    <row r="283" spans="1:18" x14ac:dyDescent="0.25">
      <c r="A283" s="1">
        <v>45979</v>
      </c>
      <c r="B283" s="1">
        <v>1</v>
      </c>
      <c r="C283" s="5">
        <v>4</v>
      </c>
      <c r="D283" s="5">
        <v>24314</v>
      </c>
      <c r="E283" s="7" t="str">
        <f t="shared" si="8"/>
        <v>000400024314</v>
      </c>
      <c r="F283" s="7" t="str">
        <f t="shared" si="9"/>
        <v>20128307746000400024314</v>
      </c>
      <c r="G283" s="5">
        <v>75466328153245</v>
      </c>
      <c r="H283" s="1">
        <v>80</v>
      </c>
      <c r="I283" s="5">
        <v>20128307746</v>
      </c>
      <c r="J283" s="1" t="s">
        <v>169</v>
      </c>
      <c r="K283" s="5">
        <v>1</v>
      </c>
      <c r="L283" s="1" t="s">
        <v>168</v>
      </c>
      <c r="M283" s="2">
        <v>45635.85</v>
      </c>
      <c r="N283" s="1">
        <v>0</v>
      </c>
      <c r="O283" s="1">
        <v>0</v>
      </c>
      <c r="P283" s="5">
        <v>0</v>
      </c>
      <c r="Q283" s="1">
        <v>4791.76</v>
      </c>
      <c r="R283" s="2">
        <v>50427.61</v>
      </c>
    </row>
    <row r="284" spans="1:18" x14ac:dyDescent="0.25">
      <c r="A284" s="1">
        <v>45979</v>
      </c>
      <c r="B284" s="1">
        <v>1</v>
      </c>
      <c r="C284" s="5">
        <v>9</v>
      </c>
      <c r="D284" s="5">
        <v>15232</v>
      </c>
      <c r="E284" s="7" t="str">
        <f t="shared" si="8"/>
        <v>000900015232</v>
      </c>
      <c r="F284" s="7" t="str">
        <f t="shared" si="9"/>
        <v>30711946140000900015232</v>
      </c>
      <c r="G284" s="5">
        <v>75460423112895</v>
      </c>
      <c r="H284" s="1">
        <v>80</v>
      </c>
      <c r="I284" s="5">
        <v>30711946140</v>
      </c>
      <c r="J284" s="1" t="s">
        <v>917</v>
      </c>
      <c r="K284" s="5">
        <v>1</v>
      </c>
      <c r="L284" s="1" t="s">
        <v>168</v>
      </c>
      <c r="M284" s="5">
        <v>175275</v>
      </c>
      <c r="N284" s="2">
        <v>0</v>
      </c>
      <c r="O284" s="5">
        <v>0</v>
      </c>
      <c r="P284" s="5">
        <v>1371.23</v>
      </c>
      <c r="Q284" s="5">
        <v>36807.75</v>
      </c>
      <c r="R284" s="2">
        <v>213453.98</v>
      </c>
    </row>
    <row r="285" spans="1:18" x14ac:dyDescent="0.25">
      <c r="A285" s="1">
        <v>45979</v>
      </c>
      <c r="B285" s="1">
        <v>1</v>
      </c>
      <c r="C285" s="5">
        <v>2</v>
      </c>
      <c r="D285" s="5">
        <v>66293</v>
      </c>
      <c r="E285" s="7" t="str">
        <f t="shared" si="8"/>
        <v>000200066293</v>
      </c>
      <c r="F285" s="7" t="str">
        <f t="shared" si="9"/>
        <v>30708506237000200066293</v>
      </c>
      <c r="G285" s="5">
        <v>75467336529356</v>
      </c>
      <c r="H285" s="1">
        <v>80</v>
      </c>
      <c r="I285" s="5">
        <v>30708506237</v>
      </c>
      <c r="J285" s="1" t="s">
        <v>132</v>
      </c>
      <c r="K285" s="5">
        <v>1</v>
      </c>
      <c r="L285" s="1" t="s">
        <v>168</v>
      </c>
      <c r="M285" s="5">
        <v>51403.88</v>
      </c>
      <c r="N285" s="2">
        <v>0</v>
      </c>
      <c r="O285" s="5">
        <v>0</v>
      </c>
      <c r="P285" s="5">
        <v>0</v>
      </c>
      <c r="Q285" s="5">
        <v>10794.81</v>
      </c>
      <c r="R285" s="2">
        <v>62198.69</v>
      </c>
    </row>
    <row r="286" spans="1:18" x14ac:dyDescent="0.25">
      <c r="A286" s="1">
        <v>45979</v>
      </c>
      <c r="B286" s="1">
        <v>1</v>
      </c>
      <c r="C286" s="5">
        <v>10</v>
      </c>
      <c r="D286" s="5">
        <v>16796</v>
      </c>
      <c r="E286" s="7" t="str">
        <f t="shared" si="8"/>
        <v>001000016796</v>
      </c>
      <c r="F286" s="7" t="str">
        <f t="shared" si="9"/>
        <v>30682681108001000016796</v>
      </c>
      <c r="G286" s="5">
        <v>75478460951618</v>
      </c>
      <c r="H286" s="1">
        <v>80</v>
      </c>
      <c r="I286" s="5">
        <v>30682681108</v>
      </c>
      <c r="J286" s="1" t="s">
        <v>205</v>
      </c>
      <c r="K286" s="5">
        <v>1387</v>
      </c>
      <c r="L286" s="1" t="s">
        <v>206</v>
      </c>
      <c r="M286" s="1">
        <v>1159.76</v>
      </c>
      <c r="N286" s="1">
        <v>0</v>
      </c>
      <c r="O286" s="1">
        <v>0</v>
      </c>
      <c r="P286" s="5">
        <v>0</v>
      </c>
      <c r="Q286" s="1">
        <v>243.55</v>
      </c>
      <c r="R286" s="5">
        <v>1403.31</v>
      </c>
    </row>
    <row r="287" spans="1:18" x14ac:dyDescent="0.25">
      <c r="A287" s="1">
        <v>45979</v>
      </c>
      <c r="B287" s="1">
        <v>1</v>
      </c>
      <c r="C287" s="5">
        <v>3</v>
      </c>
      <c r="D287" s="5">
        <v>1539</v>
      </c>
      <c r="E287" s="7" t="str">
        <f t="shared" si="8"/>
        <v>000300001539</v>
      </c>
      <c r="F287" s="7" t="str">
        <f t="shared" si="9"/>
        <v>20162895142000300001539</v>
      </c>
      <c r="G287" s="5">
        <v>75462421439822</v>
      </c>
      <c r="H287" s="1">
        <v>80</v>
      </c>
      <c r="I287" s="5">
        <v>20162895142</v>
      </c>
      <c r="J287" s="1" t="s">
        <v>62</v>
      </c>
      <c r="K287" s="5">
        <v>1</v>
      </c>
      <c r="L287" s="1" t="s">
        <v>168</v>
      </c>
      <c r="M287" s="1">
        <v>38181.81</v>
      </c>
      <c r="N287" s="5">
        <v>0</v>
      </c>
      <c r="O287" s="5">
        <v>0</v>
      </c>
      <c r="P287" s="5">
        <v>0</v>
      </c>
      <c r="Q287" s="1">
        <v>8018.18</v>
      </c>
      <c r="R287" s="5">
        <v>46200</v>
      </c>
    </row>
    <row r="288" spans="1:18" x14ac:dyDescent="0.25">
      <c r="A288" s="1">
        <v>45979</v>
      </c>
      <c r="B288" s="1">
        <v>1</v>
      </c>
      <c r="C288" s="5">
        <v>32</v>
      </c>
      <c r="D288" s="5">
        <v>255009</v>
      </c>
      <c r="E288" s="7" t="str">
        <f t="shared" si="8"/>
        <v>003200255009</v>
      </c>
      <c r="F288" s="7" t="str">
        <f t="shared" si="9"/>
        <v>30621181838003200255009</v>
      </c>
      <c r="G288" s="5">
        <v>75468423054401</v>
      </c>
      <c r="H288" s="1">
        <v>80</v>
      </c>
      <c r="I288" s="5">
        <v>30621181838</v>
      </c>
      <c r="J288" s="1" t="s">
        <v>180</v>
      </c>
      <c r="K288" s="5">
        <v>1</v>
      </c>
      <c r="L288" s="1" t="s">
        <v>168</v>
      </c>
      <c r="M288" s="2">
        <v>440904.81</v>
      </c>
      <c r="N288" s="5"/>
      <c r="O288" s="5"/>
      <c r="P288" s="5">
        <v>0</v>
      </c>
      <c r="Q288" s="2">
        <v>92590.01</v>
      </c>
      <c r="R288" s="5">
        <v>533494.81999999995</v>
      </c>
    </row>
    <row r="289" spans="1:18" x14ac:dyDescent="0.25">
      <c r="A289" s="1">
        <v>45979</v>
      </c>
      <c r="B289" s="1">
        <v>3</v>
      </c>
      <c r="C289" s="5">
        <v>215</v>
      </c>
      <c r="D289" s="5">
        <v>2495</v>
      </c>
      <c r="E289" s="7" t="str">
        <f t="shared" si="8"/>
        <v>021500002495</v>
      </c>
      <c r="F289" s="7" t="str">
        <f t="shared" si="9"/>
        <v>30500529071021500002495</v>
      </c>
      <c r="G289" s="5">
        <v>35461728530290</v>
      </c>
      <c r="H289" s="1">
        <v>80</v>
      </c>
      <c r="I289" s="5">
        <v>30500529071</v>
      </c>
      <c r="J289" s="1" t="s">
        <v>179</v>
      </c>
      <c r="K289" s="5">
        <v>1</v>
      </c>
      <c r="L289" s="1" t="s">
        <v>168</v>
      </c>
      <c r="M289" s="2">
        <v>5436782.8600000003</v>
      </c>
      <c r="N289" s="5"/>
      <c r="O289" s="5"/>
      <c r="P289" s="5">
        <v>163103.63</v>
      </c>
      <c r="Q289" s="2">
        <v>1141724.3999999999</v>
      </c>
      <c r="R289" s="2">
        <v>6741610.3399999999</v>
      </c>
    </row>
    <row r="290" spans="1:18" x14ac:dyDescent="0.25">
      <c r="A290" s="1">
        <v>45979</v>
      </c>
      <c r="B290" s="1">
        <v>3</v>
      </c>
      <c r="C290" s="5">
        <v>215</v>
      </c>
      <c r="D290" s="5">
        <v>2496</v>
      </c>
      <c r="E290" s="7" t="str">
        <f t="shared" si="8"/>
        <v>021500002496</v>
      </c>
      <c r="F290" s="7" t="str">
        <f t="shared" si="9"/>
        <v>30500529071021500002496</v>
      </c>
      <c r="G290" s="5">
        <v>35461728530290</v>
      </c>
      <c r="H290" s="1">
        <v>80</v>
      </c>
      <c r="I290" s="5">
        <v>30500529071</v>
      </c>
      <c r="J290" s="1" t="s">
        <v>179</v>
      </c>
      <c r="K290" s="5">
        <v>1</v>
      </c>
      <c r="L290" s="1" t="s">
        <v>168</v>
      </c>
      <c r="M290" s="2">
        <v>1317307.95</v>
      </c>
      <c r="N290" s="5"/>
      <c r="O290" s="5"/>
      <c r="P290" s="2">
        <v>39519.24</v>
      </c>
      <c r="Q290" s="2">
        <v>276634.67</v>
      </c>
      <c r="R290" s="5">
        <v>1633461.88</v>
      </c>
    </row>
    <row r="291" spans="1:18" x14ac:dyDescent="0.25">
      <c r="A291" s="1">
        <v>45979</v>
      </c>
      <c r="B291" s="1">
        <v>4</v>
      </c>
      <c r="C291" s="5">
        <v>4</v>
      </c>
      <c r="D291" s="5">
        <v>26096</v>
      </c>
      <c r="E291" s="7" t="str">
        <f t="shared" si="8"/>
        <v>000400026096</v>
      </c>
      <c r="F291" s="7" t="str">
        <f t="shared" si="9"/>
        <v>30681965854000400026096</v>
      </c>
      <c r="G291" s="5">
        <v>75464396668855</v>
      </c>
      <c r="H291" s="1">
        <v>80</v>
      </c>
      <c r="I291" s="5">
        <v>30681965854</v>
      </c>
      <c r="J291" s="1" t="s">
        <v>208</v>
      </c>
      <c r="K291" s="5">
        <v>1</v>
      </c>
      <c r="L291" s="1" t="s">
        <v>168</v>
      </c>
      <c r="M291" s="1">
        <v>0</v>
      </c>
      <c r="N291" s="5">
        <v>89790.99</v>
      </c>
      <c r="O291" s="5">
        <v>0</v>
      </c>
      <c r="P291" s="5">
        <v>0</v>
      </c>
      <c r="Q291" s="2">
        <v>0</v>
      </c>
      <c r="R291" s="2">
        <v>89790.99</v>
      </c>
    </row>
    <row r="292" spans="1:18" x14ac:dyDescent="0.25">
      <c r="A292" s="1">
        <v>45979</v>
      </c>
      <c r="B292" s="1">
        <v>4</v>
      </c>
      <c r="C292" s="5">
        <v>4</v>
      </c>
      <c r="D292" s="5">
        <v>26097</v>
      </c>
      <c r="E292" s="7" t="str">
        <f t="shared" si="8"/>
        <v>000400026097</v>
      </c>
      <c r="F292" s="7" t="str">
        <f t="shared" si="9"/>
        <v>30681965854000400026097</v>
      </c>
      <c r="G292" s="5">
        <v>75464396768174</v>
      </c>
      <c r="H292" s="1">
        <v>80</v>
      </c>
      <c r="I292" s="5">
        <v>30681965854</v>
      </c>
      <c r="J292" s="1" t="s">
        <v>208</v>
      </c>
      <c r="K292" s="5">
        <v>1</v>
      </c>
      <c r="L292" s="1" t="s">
        <v>168</v>
      </c>
      <c r="M292" s="2">
        <v>967361.15</v>
      </c>
      <c r="N292" s="2">
        <v>103338.66</v>
      </c>
      <c r="O292" s="5">
        <v>0</v>
      </c>
      <c r="P292" s="5">
        <v>0</v>
      </c>
      <c r="Q292" s="2">
        <v>203145.84</v>
      </c>
      <c r="R292" s="5">
        <v>1273845.6499999999</v>
      </c>
    </row>
    <row r="293" spans="1:18" x14ac:dyDescent="0.25">
      <c r="A293" s="1">
        <v>45979</v>
      </c>
      <c r="B293" s="1">
        <v>11</v>
      </c>
      <c r="C293" s="5">
        <v>3</v>
      </c>
      <c r="D293" s="5">
        <v>255</v>
      </c>
      <c r="E293" s="7" t="str">
        <f t="shared" si="8"/>
        <v>000300000255</v>
      </c>
      <c r="F293" s="7" t="str">
        <f t="shared" si="9"/>
        <v>20220874568000300000255</v>
      </c>
      <c r="G293" s="5">
        <v>75468363758251</v>
      </c>
      <c r="H293" s="1">
        <v>80</v>
      </c>
      <c r="I293" s="5">
        <v>20220874568</v>
      </c>
      <c r="J293" s="1" t="s">
        <v>222</v>
      </c>
      <c r="K293" s="5">
        <v>1</v>
      </c>
      <c r="L293" s="1" t="s">
        <v>168</v>
      </c>
      <c r="M293" s="1">
        <v>0</v>
      </c>
      <c r="N293" s="5">
        <v>0</v>
      </c>
      <c r="O293" s="5">
        <v>0</v>
      </c>
      <c r="P293" s="5">
        <v>0</v>
      </c>
      <c r="Q293" s="2">
        <v>0</v>
      </c>
      <c r="R293" s="2">
        <v>620000</v>
      </c>
    </row>
    <row r="294" spans="1:18" x14ac:dyDescent="0.25">
      <c r="A294" s="1">
        <v>45979</v>
      </c>
      <c r="B294" s="1">
        <v>11</v>
      </c>
      <c r="C294" s="5">
        <v>3</v>
      </c>
      <c r="D294" s="5">
        <v>675</v>
      </c>
      <c r="E294" s="7" t="str">
        <f t="shared" si="8"/>
        <v>000300000675</v>
      </c>
      <c r="F294" s="7" t="str">
        <f t="shared" si="9"/>
        <v>20184910838000300000675</v>
      </c>
      <c r="G294" s="5">
        <v>75468378698382</v>
      </c>
      <c r="H294" s="1">
        <v>80</v>
      </c>
      <c r="I294" s="5">
        <v>20184910838</v>
      </c>
      <c r="J294" s="1" t="s">
        <v>310</v>
      </c>
      <c r="K294" s="1">
        <v>1</v>
      </c>
      <c r="L294" s="1" t="s">
        <v>168</v>
      </c>
      <c r="M294" s="2">
        <v>0</v>
      </c>
      <c r="N294" s="5">
        <v>0</v>
      </c>
      <c r="O294" s="2">
        <v>0</v>
      </c>
      <c r="P294" s="5">
        <v>0</v>
      </c>
      <c r="Q294" s="2">
        <v>0</v>
      </c>
      <c r="R294" s="5">
        <v>215000</v>
      </c>
    </row>
    <row r="295" spans="1:18" x14ac:dyDescent="0.25">
      <c r="A295" s="1">
        <v>45979</v>
      </c>
      <c r="B295" s="1">
        <v>11</v>
      </c>
      <c r="C295" s="5">
        <v>1</v>
      </c>
      <c r="D295" s="5">
        <v>228</v>
      </c>
      <c r="E295" s="7" t="str">
        <f t="shared" si="8"/>
        <v>000100000228</v>
      </c>
      <c r="F295" s="7" t="str">
        <f t="shared" si="9"/>
        <v>27366556074000100000228</v>
      </c>
      <c r="G295" s="5">
        <v>75464340948299</v>
      </c>
      <c r="H295" s="1">
        <v>80</v>
      </c>
      <c r="I295" s="5">
        <v>27366556074</v>
      </c>
      <c r="J295" s="1" t="s">
        <v>723</v>
      </c>
      <c r="K295" s="5">
        <v>1</v>
      </c>
      <c r="L295" s="1" t="s">
        <v>168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100000</v>
      </c>
    </row>
    <row r="296" spans="1:18" x14ac:dyDescent="0.25">
      <c r="A296" s="1">
        <v>45980</v>
      </c>
      <c r="B296" s="1">
        <v>1</v>
      </c>
      <c r="C296" s="5">
        <v>3</v>
      </c>
      <c r="D296" s="5">
        <v>10158</v>
      </c>
      <c r="E296" s="7" t="str">
        <f t="shared" si="8"/>
        <v>000300010158</v>
      </c>
      <c r="F296" s="7" t="str">
        <f t="shared" si="9"/>
        <v>23174473919000300010158</v>
      </c>
      <c r="G296" s="5">
        <v>75479469554123</v>
      </c>
      <c r="H296" s="1">
        <v>80</v>
      </c>
      <c r="I296" s="5">
        <v>23174473919</v>
      </c>
      <c r="J296" s="1" t="s">
        <v>217</v>
      </c>
      <c r="K296" s="5">
        <v>1</v>
      </c>
      <c r="L296" s="1" t="s">
        <v>168</v>
      </c>
      <c r="M296" s="2">
        <v>99302.2</v>
      </c>
      <c r="N296" s="5">
        <v>0</v>
      </c>
      <c r="O296" s="5">
        <v>0</v>
      </c>
      <c r="P296" s="2">
        <v>0</v>
      </c>
      <c r="Q296" s="2">
        <v>20853.46</v>
      </c>
      <c r="R296" s="2">
        <v>120155.66</v>
      </c>
    </row>
    <row r="297" spans="1:18" x14ac:dyDescent="0.25">
      <c r="A297" s="1">
        <v>45980</v>
      </c>
      <c r="B297" s="1">
        <v>1</v>
      </c>
      <c r="C297" s="5">
        <v>2</v>
      </c>
      <c r="D297" s="5">
        <v>1569</v>
      </c>
      <c r="E297" s="7" t="str">
        <f t="shared" si="8"/>
        <v>000200001569</v>
      </c>
      <c r="F297" s="7" t="str">
        <f t="shared" si="9"/>
        <v>30718520416000200001569</v>
      </c>
      <c r="G297" s="5">
        <v>75476453154976</v>
      </c>
      <c r="H297" s="1">
        <v>80</v>
      </c>
      <c r="I297" s="5">
        <v>30718520416</v>
      </c>
      <c r="J297" s="1" t="s">
        <v>176</v>
      </c>
      <c r="K297" s="5">
        <v>1</v>
      </c>
      <c r="L297" s="1" t="s">
        <v>168</v>
      </c>
      <c r="M297" s="5">
        <v>33057.85</v>
      </c>
      <c r="N297" s="5">
        <v>0</v>
      </c>
      <c r="O297" s="5">
        <v>0</v>
      </c>
      <c r="P297" s="5">
        <v>0</v>
      </c>
      <c r="Q297" s="5">
        <v>6942.15</v>
      </c>
      <c r="R297" s="5">
        <v>40000</v>
      </c>
    </row>
    <row r="298" spans="1:18" x14ac:dyDescent="0.25">
      <c r="A298" s="1">
        <v>45980</v>
      </c>
      <c r="B298" s="1">
        <v>1</v>
      </c>
      <c r="C298" s="5">
        <v>2</v>
      </c>
      <c r="D298" s="5">
        <v>21975</v>
      </c>
      <c r="E298" s="7" t="str">
        <f t="shared" si="8"/>
        <v>000200021975</v>
      </c>
      <c r="F298" s="7" t="str">
        <f t="shared" si="9"/>
        <v>33620532229000200021975</v>
      </c>
      <c r="G298" s="5">
        <v>75479476283062</v>
      </c>
      <c r="H298" s="1">
        <v>80</v>
      </c>
      <c r="I298" s="5">
        <v>33620532229</v>
      </c>
      <c r="J298" s="1" t="s">
        <v>308</v>
      </c>
      <c r="K298" s="5">
        <v>1</v>
      </c>
      <c r="L298" s="1" t="s">
        <v>168</v>
      </c>
      <c r="M298" s="2">
        <v>333823</v>
      </c>
      <c r="N298" s="5">
        <v>0</v>
      </c>
      <c r="O298" s="5">
        <v>0</v>
      </c>
      <c r="P298" s="2">
        <v>0</v>
      </c>
      <c r="Q298" s="2">
        <v>70102.83</v>
      </c>
      <c r="R298" s="2">
        <v>403925.83</v>
      </c>
    </row>
    <row r="299" spans="1:18" x14ac:dyDescent="0.25">
      <c r="A299" s="1">
        <v>45980</v>
      </c>
      <c r="B299" s="1">
        <v>1</v>
      </c>
      <c r="C299" s="5">
        <v>10</v>
      </c>
      <c r="D299" s="5">
        <v>3257</v>
      </c>
      <c r="E299" s="7" t="str">
        <f t="shared" si="8"/>
        <v>001000003257</v>
      </c>
      <c r="F299" s="7" t="str">
        <f t="shared" si="9"/>
        <v>20285650942001000003257</v>
      </c>
      <c r="G299" s="5">
        <v>75472474471018</v>
      </c>
      <c r="H299" s="1">
        <v>80</v>
      </c>
      <c r="I299" s="5">
        <v>20285650942</v>
      </c>
      <c r="J299" s="1" t="s">
        <v>918</v>
      </c>
      <c r="K299" s="5">
        <v>1</v>
      </c>
      <c r="L299" s="1" t="s">
        <v>168</v>
      </c>
      <c r="M299" s="5">
        <v>27799</v>
      </c>
      <c r="N299" s="5">
        <v>0</v>
      </c>
      <c r="O299" s="5">
        <v>0</v>
      </c>
      <c r="P299" s="1">
        <v>0</v>
      </c>
      <c r="Q299" s="1">
        <v>5837.79</v>
      </c>
      <c r="R299" s="1">
        <v>33636.79</v>
      </c>
    </row>
    <row r="300" spans="1:18" x14ac:dyDescent="0.25">
      <c r="A300" s="1">
        <v>45980</v>
      </c>
      <c r="B300" s="1">
        <v>1</v>
      </c>
      <c r="C300" s="5">
        <v>2</v>
      </c>
      <c r="D300" s="5">
        <v>10429</v>
      </c>
      <c r="E300" s="7" t="str">
        <f t="shared" si="8"/>
        <v>000200010429</v>
      </c>
      <c r="F300" s="7" t="str">
        <f t="shared" si="9"/>
        <v>30642674567000200010429</v>
      </c>
      <c r="G300" s="5">
        <v>75477725091289</v>
      </c>
      <c r="H300" s="1">
        <v>80</v>
      </c>
      <c r="I300" s="5">
        <v>30642674567</v>
      </c>
      <c r="J300" s="1" t="s">
        <v>184</v>
      </c>
      <c r="K300" s="5">
        <v>1</v>
      </c>
      <c r="L300" s="1" t="s">
        <v>168</v>
      </c>
      <c r="M300" s="5">
        <v>79707.149999999994</v>
      </c>
      <c r="N300" s="5">
        <v>0</v>
      </c>
      <c r="O300" s="5">
        <v>0</v>
      </c>
      <c r="P300" s="1">
        <v>0</v>
      </c>
      <c r="Q300" s="1">
        <v>16738.5</v>
      </c>
      <c r="R300" s="1">
        <v>96445.65</v>
      </c>
    </row>
    <row r="301" spans="1:18" x14ac:dyDescent="0.25">
      <c r="A301" s="1">
        <v>45980</v>
      </c>
      <c r="B301" s="1">
        <v>1</v>
      </c>
      <c r="C301" s="5">
        <v>1</v>
      </c>
      <c r="D301" s="5">
        <v>3822</v>
      </c>
      <c r="E301" s="7" t="str">
        <f t="shared" si="8"/>
        <v>000100003822</v>
      </c>
      <c r="F301" s="7" t="str">
        <f t="shared" si="9"/>
        <v>20406781888000100003822</v>
      </c>
      <c r="G301" s="5">
        <v>75478441011871</v>
      </c>
      <c r="H301" s="1">
        <v>80</v>
      </c>
      <c r="I301" s="5">
        <v>20406781888</v>
      </c>
      <c r="J301" s="1" t="s">
        <v>297</v>
      </c>
      <c r="K301" s="5">
        <v>1</v>
      </c>
      <c r="L301" s="1" t="s">
        <v>168</v>
      </c>
      <c r="M301" s="5">
        <v>10000</v>
      </c>
      <c r="N301" s="5">
        <v>0</v>
      </c>
      <c r="O301" s="5">
        <v>0</v>
      </c>
      <c r="P301" s="1">
        <v>0</v>
      </c>
      <c r="Q301" s="1">
        <v>2100</v>
      </c>
      <c r="R301" s="1">
        <v>12100</v>
      </c>
    </row>
    <row r="302" spans="1:18" x14ac:dyDescent="0.25">
      <c r="A302" s="1">
        <v>45980</v>
      </c>
      <c r="B302" s="1">
        <v>1</v>
      </c>
      <c r="C302" s="5">
        <v>5</v>
      </c>
      <c r="D302" s="5">
        <v>3936</v>
      </c>
      <c r="E302" s="7" t="str">
        <f t="shared" si="8"/>
        <v>000500003936</v>
      </c>
      <c r="F302" s="7" t="str">
        <f t="shared" si="9"/>
        <v>23322188439000500003936</v>
      </c>
      <c r="G302" s="5">
        <v>75479444194449</v>
      </c>
      <c r="H302" s="1">
        <v>80</v>
      </c>
      <c r="I302" s="5">
        <v>23322188439</v>
      </c>
      <c r="J302" s="1" t="s">
        <v>146</v>
      </c>
      <c r="K302" s="5">
        <v>1</v>
      </c>
      <c r="L302" s="1" t="s">
        <v>168</v>
      </c>
      <c r="M302" s="5">
        <v>62500</v>
      </c>
      <c r="N302" s="5">
        <v>0</v>
      </c>
      <c r="O302" s="5">
        <v>0</v>
      </c>
      <c r="P302" s="1">
        <v>0</v>
      </c>
      <c r="Q302" s="1">
        <v>13125</v>
      </c>
      <c r="R302" s="1">
        <v>75625</v>
      </c>
    </row>
    <row r="303" spans="1:18" x14ac:dyDescent="0.25">
      <c r="A303" s="1">
        <v>45980</v>
      </c>
      <c r="B303" s="1">
        <v>1</v>
      </c>
      <c r="C303" s="5">
        <v>2</v>
      </c>
      <c r="D303" s="5">
        <v>89</v>
      </c>
      <c r="E303" s="7" t="str">
        <f t="shared" si="8"/>
        <v>000200000089</v>
      </c>
      <c r="F303" s="7" t="str">
        <f t="shared" si="9"/>
        <v>27207256086000200000089</v>
      </c>
      <c r="G303" s="5">
        <v>75476457020195</v>
      </c>
      <c r="H303" s="1">
        <v>80</v>
      </c>
      <c r="I303" s="5">
        <v>27207256086</v>
      </c>
      <c r="J303" s="1" t="s">
        <v>727</v>
      </c>
      <c r="K303" s="5">
        <v>1</v>
      </c>
      <c r="L303" s="1" t="s">
        <v>168</v>
      </c>
      <c r="M303" s="5">
        <v>592000</v>
      </c>
      <c r="N303" s="5">
        <v>0</v>
      </c>
      <c r="O303" s="5">
        <v>0</v>
      </c>
      <c r="P303" s="2">
        <v>0</v>
      </c>
      <c r="Q303" s="2">
        <v>124320</v>
      </c>
      <c r="R303" s="1">
        <v>716320</v>
      </c>
    </row>
    <row r="304" spans="1:18" x14ac:dyDescent="0.25">
      <c r="A304" s="1">
        <v>45980</v>
      </c>
      <c r="B304" s="1">
        <v>1</v>
      </c>
      <c r="C304" s="5">
        <v>3</v>
      </c>
      <c r="D304" s="5">
        <v>833</v>
      </c>
      <c r="E304" s="7" t="str">
        <f t="shared" si="8"/>
        <v>000300000833</v>
      </c>
      <c r="F304" s="7" t="str">
        <f t="shared" si="9"/>
        <v>20236209912000300000833</v>
      </c>
      <c r="G304" s="5">
        <v>75482747543998</v>
      </c>
      <c r="H304" s="1">
        <v>80</v>
      </c>
      <c r="I304" s="5">
        <v>20236209912</v>
      </c>
      <c r="J304" s="1" t="s">
        <v>919</v>
      </c>
      <c r="K304" s="5">
        <v>1</v>
      </c>
      <c r="L304" s="1" t="s">
        <v>168</v>
      </c>
      <c r="M304" s="5">
        <v>45000</v>
      </c>
      <c r="N304" s="5">
        <v>0</v>
      </c>
      <c r="O304" s="5">
        <v>0</v>
      </c>
      <c r="P304" s="1">
        <v>0</v>
      </c>
      <c r="Q304" s="1">
        <v>9450</v>
      </c>
      <c r="R304" s="1">
        <v>54450</v>
      </c>
    </row>
    <row r="305" spans="1:18" x14ac:dyDescent="0.25">
      <c r="A305" s="1">
        <v>45980</v>
      </c>
      <c r="B305" s="1">
        <v>1</v>
      </c>
      <c r="C305" s="5">
        <v>32</v>
      </c>
      <c r="D305" s="5">
        <v>255093</v>
      </c>
      <c r="E305" s="7" t="str">
        <f t="shared" si="8"/>
        <v>003200255093</v>
      </c>
      <c r="F305" s="7" t="str">
        <f t="shared" si="9"/>
        <v>30621181838003200255093</v>
      </c>
      <c r="G305" s="5">
        <v>75478506116880</v>
      </c>
      <c r="H305" s="1">
        <v>80</v>
      </c>
      <c r="I305" s="5">
        <v>30621181838</v>
      </c>
      <c r="J305" s="1" t="s">
        <v>180</v>
      </c>
      <c r="K305" s="5">
        <v>1</v>
      </c>
      <c r="L305" s="1" t="s">
        <v>168</v>
      </c>
      <c r="M305" s="5">
        <v>442332.24</v>
      </c>
      <c r="N305" s="5"/>
      <c r="O305" s="5"/>
      <c r="P305" s="5">
        <v>0</v>
      </c>
      <c r="Q305" s="1">
        <v>92889.77</v>
      </c>
      <c r="R305" s="1">
        <v>535221.96</v>
      </c>
    </row>
    <row r="306" spans="1:18" x14ac:dyDescent="0.25">
      <c r="A306" s="1">
        <v>45980</v>
      </c>
      <c r="B306" s="1">
        <v>1</v>
      </c>
      <c r="C306" s="5">
        <v>32</v>
      </c>
      <c r="D306" s="5">
        <v>255094</v>
      </c>
      <c r="E306" s="7" t="str">
        <f t="shared" si="8"/>
        <v>003200255094</v>
      </c>
      <c r="F306" s="7" t="str">
        <f t="shared" si="9"/>
        <v>30621181838003200255094</v>
      </c>
      <c r="G306" s="5">
        <v>75478506157883</v>
      </c>
      <c r="H306" s="1">
        <v>80</v>
      </c>
      <c r="I306" s="5">
        <v>30621181838</v>
      </c>
      <c r="J306" s="1" t="s">
        <v>180</v>
      </c>
      <c r="K306" s="5">
        <v>1</v>
      </c>
      <c r="L306" s="1" t="s">
        <v>168</v>
      </c>
      <c r="M306" s="2">
        <v>44745.48</v>
      </c>
      <c r="N306" s="5"/>
      <c r="O306" s="5"/>
      <c r="P306" s="5">
        <v>0</v>
      </c>
      <c r="Q306" s="2">
        <v>9396.5499999999993</v>
      </c>
      <c r="R306" s="5">
        <v>54142.01</v>
      </c>
    </row>
    <row r="307" spans="1:18" x14ac:dyDescent="0.25">
      <c r="A307" s="1">
        <v>45980</v>
      </c>
      <c r="B307" s="1">
        <v>1</v>
      </c>
      <c r="C307" s="5">
        <v>268</v>
      </c>
      <c r="D307" s="5">
        <v>40832</v>
      </c>
      <c r="E307" s="7" t="str">
        <f t="shared" si="8"/>
        <v>026800040832</v>
      </c>
      <c r="F307" s="7" t="str">
        <f t="shared" si="9"/>
        <v>30500529454026800040832</v>
      </c>
      <c r="G307" s="5">
        <v>75474574882793</v>
      </c>
      <c r="H307" s="1">
        <v>80</v>
      </c>
      <c r="I307" s="5">
        <v>30500529454</v>
      </c>
      <c r="J307" s="1" t="s">
        <v>309</v>
      </c>
      <c r="K307" s="5">
        <v>1</v>
      </c>
      <c r="L307" s="1" t="s">
        <v>168</v>
      </c>
      <c r="M307" s="2">
        <v>2129712.9500000002</v>
      </c>
      <c r="N307" s="5">
        <v>0</v>
      </c>
      <c r="O307" s="5">
        <v>0</v>
      </c>
      <c r="P307" s="5">
        <v>117134.21</v>
      </c>
      <c r="Q307" s="2">
        <v>447239.72</v>
      </c>
      <c r="R307" s="1">
        <v>2694086.86</v>
      </c>
    </row>
    <row r="308" spans="1:18" x14ac:dyDescent="0.25">
      <c r="A308" s="1">
        <v>45980</v>
      </c>
      <c r="B308" s="1">
        <v>1</v>
      </c>
      <c r="C308" s="5">
        <v>21</v>
      </c>
      <c r="D308" s="5">
        <v>302205</v>
      </c>
      <c r="E308" s="7" t="str">
        <f t="shared" si="8"/>
        <v>002100302205</v>
      </c>
      <c r="F308" s="7" t="str">
        <f t="shared" si="9"/>
        <v>33522734549002100302205</v>
      </c>
      <c r="G308" s="5">
        <v>35459553583712</v>
      </c>
      <c r="H308" s="1">
        <v>80</v>
      </c>
      <c r="I308" s="5">
        <v>33522734549</v>
      </c>
      <c r="J308" s="1" t="s">
        <v>193</v>
      </c>
      <c r="K308" s="5">
        <v>1</v>
      </c>
      <c r="L308" s="1" t="s">
        <v>168</v>
      </c>
      <c r="M308" s="2">
        <v>71565.48</v>
      </c>
      <c r="N308" s="5">
        <v>0</v>
      </c>
      <c r="O308" s="5">
        <v>0</v>
      </c>
      <c r="P308" s="5">
        <v>3936.1</v>
      </c>
      <c r="Q308" s="2">
        <v>15028.75</v>
      </c>
      <c r="R308" s="2">
        <v>90530.34</v>
      </c>
    </row>
    <row r="309" spans="1:18" x14ac:dyDescent="0.25">
      <c r="A309" s="1">
        <v>45980</v>
      </c>
      <c r="B309" s="1">
        <v>1</v>
      </c>
      <c r="C309" s="5">
        <v>21</v>
      </c>
      <c r="D309" s="5">
        <v>302206</v>
      </c>
      <c r="E309" s="7" t="str">
        <f t="shared" si="8"/>
        <v>002100302206</v>
      </c>
      <c r="F309" s="7" t="str">
        <f t="shared" si="9"/>
        <v>33522734549002100302206</v>
      </c>
      <c r="G309" s="5">
        <v>35459553583712</v>
      </c>
      <c r="H309" s="1">
        <v>80</v>
      </c>
      <c r="I309" s="5">
        <v>33522734549</v>
      </c>
      <c r="J309" s="1" t="s">
        <v>193</v>
      </c>
      <c r="K309" s="5">
        <v>1</v>
      </c>
      <c r="L309" s="1" t="s">
        <v>168</v>
      </c>
      <c r="M309" s="1">
        <v>73488.240000000005</v>
      </c>
      <c r="N309" s="1">
        <v>0</v>
      </c>
      <c r="O309" s="1">
        <v>0</v>
      </c>
      <c r="P309" s="5">
        <v>4041.86</v>
      </c>
      <c r="Q309" s="1">
        <v>15432.53</v>
      </c>
      <c r="R309" s="5">
        <v>92962.62</v>
      </c>
    </row>
    <row r="310" spans="1:18" x14ac:dyDescent="0.25">
      <c r="A310" s="1">
        <v>45980</v>
      </c>
      <c r="B310" s="1">
        <v>3</v>
      </c>
      <c r="C310" s="5">
        <v>267</v>
      </c>
      <c r="D310" s="5">
        <v>173112</v>
      </c>
      <c r="E310" s="7" t="str">
        <f t="shared" si="8"/>
        <v>026700173112</v>
      </c>
      <c r="F310" s="7" t="str">
        <f t="shared" si="9"/>
        <v>30500529454026700173112</v>
      </c>
      <c r="G310" s="5">
        <v>75474508064085</v>
      </c>
      <c r="H310" s="1">
        <v>80</v>
      </c>
      <c r="I310" s="5">
        <v>30500529454</v>
      </c>
      <c r="J310" s="1" t="s">
        <v>309</v>
      </c>
      <c r="K310" s="5">
        <v>1</v>
      </c>
      <c r="L310" s="1" t="s">
        <v>168</v>
      </c>
      <c r="M310" s="1">
        <v>6426730</v>
      </c>
      <c r="N310" s="1">
        <v>0</v>
      </c>
      <c r="O310" s="1">
        <v>0</v>
      </c>
      <c r="P310" s="5">
        <v>0</v>
      </c>
      <c r="Q310" s="1">
        <v>1349613.3</v>
      </c>
      <c r="R310" s="2">
        <v>7776343.2999999998</v>
      </c>
    </row>
    <row r="311" spans="1:18" x14ac:dyDescent="0.25">
      <c r="A311" s="1">
        <v>45980</v>
      </c>
      <c r="B311" s="1">
        <v>3</v>
      </c>
      <c r="C311" s="5">
        <v>215</v>
      </c>
      <c r="D311" s="5">
        <v>2498</v>
      </c>
      <c r="E311" s="7" t="str">
        <f t="shared" si="8"/>
        <v>021500002498</v>
      </c>
      <c r="F311" s="7" t="str">
        <f t="shared" si="9"/>
        <v>30500529071021500002498</v>
      </c>
      <c r="G311" s="5">
        <v>35461728530290</v>
      </c>
      <c r="H311" s="1">
        <v>80</v>
      </c>
      <c r="I311" s="5">
        <v>30500529071</v>
      </c>
      <c r="J311" s="1" t="s">
        <v>179</v>
      </c>
      <c r="K311" s="5">
        <v>1</v>
      </c>
      <c r="L311" s="1" t="s">
        <v>168</v>
      </c>
      <c r="M311" s="1">
        <v>53332.480000000003</v>
      </c>
      <c r="N311" s="5"/>
      <c r="O311" s="5"/>
      <c r="P311" s="5">
        <v>1599.97</v>
      </c>
      <c r="Q311" s="2">
        <v>11199.82</v>
      </c>
      <c r="R311" s="2">
        <v>66132.259999999995</v>
      </c>
    </row>
    <row r="312" spans="1:18" x14ac:dyDescent="0.25">
      <c r="A312" s="1">
        <v>45980</v>
      </c>
      <c r="B312" s="1">
        <v>11</v>
      </c>
      <c r="C312" s="5">
        <v>3</v>
      </c>
      <c r="D312" s="5">
        <v>925</v>
      </c>
      <c r="E312" s="7" t="str">
        <f t="shared" si="8"/>
        <v>000300000925</v>
      </c>
      <c r="F312" s="7" t="str">
        <f t="shared" si="9"/>
        <v>20314191294000300000925</v>
      </c>
      <c r="G312" s="5">
        <v>75474517491245</v>
      </c>
      <c r="H312" s="1">
        <v>80</v>
      </c>
      <c r="I312" s="5">
        <v>20314191294</v>
      </c>
      <c r="J312" s="1" t="s">
        <v>474</v>
      </c>
      <c r="K312" s="5">
        <v>1</v>
      </c>
      <c r="L312" s="1" t="s">
        <v>168</v>
      </c>
      <c r="M312" s="2">
        <v>0</v>
      </c>
      <c r="N312" s="5">
        <v>0</v>
      </c>
      <c r="O312" s="5">
        <v>0</v>
      </c>
      <c r="P312" s="5">
        <v>0</v>
      </c>
      <c r="Q312" s="2">
        <v>0</v>
      </c>
      <c r="R312" s="5">
        <v>15000</v>
      </c>
    </row>
    <row r="313" spans="1:18" x14ac:dyDescent="0.25">
      <c r="A313" s="1">
        <v>45981</v>
      </c>
      <c r="B313" s="1">
        <v>1</v>
      </c>
      <c r="C313" s="5">
        <v>113</v>
      </c>
      <c r="D313" s="5">
        <v>17199</v>
      </c>
      <c r="E313" s="7" t="str">
        <f t="shared" si="8"/>
        <v>011300017199</v>
      </c>
      <c r="F313" s="7" t="str">
        <f t="shared" si="9"/>
        <v>30698548289011300017199</v>
      </c>
      <c r="G313" s="5">
        <v>75479632278076</v>
      </c>
      <c r="H313" s="1">
        <v>80</v>
      </c>
      <c r="I313" s="5">
        <v>30698548289</v>
      </c>
      <c r="J313" s="1" t="s">
        <v>323</v>
      </c>
      <c r="K313" s="5">
        <v>1</v>
      </c>
      <c r="L313" s="1" t="s">
        <v>168</v>
      </c>
      <c r="M313" s="2">
        <v>88290.68</v>
      </c>
      <c r="N313" s="5">
        <v>0</v>
      </c>
      <c r="O313" s="5">
        <v>0</v>
      </c>
      <c r="P313" s="5">
        <v>13168.15</v>
      </c>
      <c r="Q313" s="2">
        <v>18541.04</v>
      </c>
      <c r="R313" s="5">
        <v>119999.87</v>
      </c>
    </row>
    <row r="314" spans="1:18" x14ac:dyDescent="0.25">
      <c r="A314" s="1">
        <v>45981</v>
      </c>
      <c r="B314" s="1">
        <v>1</v>
      </c>
      <c r="C314" s="5">
        <v>13</v>
      </c>
      <c r="D314" s="5">
        <v>2682</v>
      </c>
      <c r="E314" s="7" t="str">
        <f t="shared" si="8"/>
        <v>001300002682</v>
      </c>
      <c r="F314" s="7" t="str">
        <f t="shared" si="9"/>
        <v>30711664102001300002682</v>
      </c>
      <c r="G314" s="5">
        <v>75472621735574</v>
      </c>
      <c r="H314" s="1">
        <v>80</v>
      </c>
      <c r="I314" s="5">
        <v>30711664102</v>
      </c>
      <c r="J314" s="1" t="s">
        <v>920</v>
      </c>
      <c r="K314" s="5">
        <v>1</v>
      </c>
      <c r="L314" s="1" t="s">
        <v>168</v>
      </c>
      <c r="M314" s="2">
        <v>38789.26</v>
      </c>
      <c r="N314" s="5">
        <v>0</v>
      </c>
      <c r="O314" s="5">
        <v>0</v>
      </c>
      <c r="P314" s="5">
        <v>0</v>
      </c>
      <c r="Q314" s="2">
        <v>8145.74</v>
      </c>
      <c r="R314" s="2">
        <v>46935</v>
      </c>
    </row>
    <row r="315" spans="1:18" x14ac:dyDescent="0.25">
      <c r="A315" s="1">
        <v>45981</v>
      </c>
      <c r="B315" s="1">
        <v>1</v>
      </c>
      <c r="C315" s="5">
        <v>2</v>
      </c>
      <c r="D315" s="5">
        <v>66344</v>
      </c>
      <c r="E315" s="7" t="str">
        <f t="shared" si="8"/>
        <v>000200066344</v>
      </c>
      <c r="F315" s="7" t="str">
        <f t="shared" si="9"/>
        <v>30708506237000200066344</v>
      </c>
      <c r="G315" s="5">
        <v>75477603450584</v>
      </c>
      <c r="H315" s="1">
        <v>80</v>
      </c>
      <c r="I315" s="5">
        <v>30708506237</v>
      </c>
      <c r="J315" s="1" t="s">
        <v>132</v>
      </c>
      <c r="K315" s="5">
        <v>1</v>
      </c>
      <c r="L315" s="1" t="s">
        <v>168</v>
      </c>
      <c r="M315" s="2">
        <v>45725.27</v>
      </c>
      <c r="N315" s="5">
        <v>0</v>
      </c>
      <c r="O315" s="5">
        <v>0</v>
      </c>
      <c r="P315" s="5">
        <v>0</v>
      </c>
      <c r="Q315" s="2">
        <v>9602.31</v>
      </c>
      <c r="R315" s="5">
        <v>55327.58</v>
      </c>
    </row>
    <row r="316" spans="1:18" x14ac:dyDescent="0.25">
      <c r="A316" s="1">
        <v>45981</v>
      </c>
      <c r="B316" s="1">
        <v>1</v>
      </c>
      <c r="C316" s="5">
        <v>10</v>
      </c>
      <c r="D316" s="5">
        <v>12315</v>
      </c>
      <c r="E316" s="7" t="str">
        <f t="shared" si="8"/>
        <v>001000012315</v>
      </c>
      <c r="F316" s="7" t="str">
        <f t="shared" si="9"/>
        <v>30502036269001000012315</v>
      </c>
      <c r="G316" s="5">
        <v>75479593668641</v>
      </c>
      <c r="H316" s="1">
        <v>80</v>
      </c>
      <c r="I316" s="5">
        <v>30502036269</v>
      </c>
      <c r="J316" s="1" t="s">
        <v>185</v>
      </c>
      <c r="K316" s="5">
        <v>1</v>
      </c>
      <c r="L316" s="1" t="s">
        <v>168</v>
      </c>
      <c r="M316" s="2">
        <v>771304.02</v>
      </c>
      <c r="N316" s="5">
        <v>0</v>
      </c>
      <c r="O316" s="5">
        <v>0</v>
      </c>
      <c r="P316" s="5">
        <v>0</v>
      </c>
      <c r="Q316" s="2">
        <v>161973.85</v>
      </c>
      <c r="R316" s="2">
        <v>933277.87</v>
      </c>
    </row>
    <row r="317" spans="1:18" x14ac:dyDescent="0.25">
      <c r="A317" s="1">
        <v>45964</v>
      </c>
      <c r="B317" s="1">
        <v>1</v>
      </c>
      <c r="C317" s="5">
        <v>5</v>
      </c>
      <c r="D317" s="5">
        <v>500</v>
      </c>
      <c r="E317" s="7" t="str">
        <f t="shared" si="8"/>
        <v>000500000500</v>
      </c>
      <c r="F317" s="7" t="str">
        <f t="shared" si="9"/>
        <v>20177699889000500000500</v>
      </c>
      <c r="G317" s="5">
        <v>75449425662262</v>
      </c>
      <c r="H317" s="1">
        <v>80</v>
      </c>
      <c r="I317" s="5">
        <v>20177699889</v>
      </c>
      <c r="J317" s="1" t="s">
        <v>250</v>
      </c>
      <c r="K317" s="5">
        <v>1</v>
      </c>
      <c r="L317" s="1" t="s">
        <v>168</v>
      </c>
      <c r="M317" s="5">
        <v>36363.620000000003</v>
      </c>
      <c r="N317" s="5">
        <v>0</v>
      </c>
      <c r="O317" s="5">
        <v>0</v>
      </c>
      <c r="P317" s="5">
        <v>0</v>
      </c>
      <c r="Q317" s="2">
        <v>7636.36</v>
      </c>
      <c r="R317" s="2">
        <v>44000</v>
      </c>
    </row>
    <row r="318" spans="1:18" x14ac:dyDescent="0.25">
      <c r="A318" s="1">
        <v>45971</v>
      </c>
      <c r="B318" s="1">
        <v>3</v>
      </c>
      <c r="C318" s="5">
        <v>267</v>
      </c>
      <c r="D318" s="5">
        <v>172857</v>
      </c>
      <c r="E318" s="7" t="str">
        <f t="shared" si="8"/>
        <v>026700172857</v>
      </c>
      <c r="F318" s="7" t="str">
        <f t="shared" si="9"/>
        <v>30500529454026700172857</v>
      </c>
      <c r="G318" s="5">
        <v>75454411868884</v>
      </c>
      <c r="H318" s="1">
        <v>80</v>
      </c>
      <c r="I318" s="5">
        <v>30500529454</v>
      </c>
      <c r="J318" s="1" t="s">
        <v>309</v>
      </c>
      <c r="K318" s="5">
        <v>1</v>
      </c>
      <c r="L318" s="1" t="s">
        <v>168</v>
      </c>
      <c r="M318" s="5">
        <v>372885</v>
      </c>
      <c r="N318" s="5">
        <v>0</v>
      </c>
      <c r="O318" s="5">
        <v>0</v>
      </c>
      <c r="P318" s="5">
        <v>0</v>
      </c>
      <c r="Q318" s="1">
        <v>78305.850000000006</v>
      </c>
      <c r="R318" s="1">
        <v>451190.87</v>
      </c>
    </row>
    <row r="319" spans="1:18" x14ac:dyDescent="0.25">
      <c r="A319" s="1">
        <v>45972</v>
      </c>
      <c r="B319" s="1">
        <v>1</v>
      </c>
      <c r="C319" s="5">
        <v>2</v>
      </c>
      <c r="D319" s="5">
        <v>66203</v>
      </c>
      <c r="E319" s="7" t="str">
        <f t="shared" si="8"/>
        <v>000200066203</v>
      </c>
      <c r="F319" s="7" t="str">
        <f t="shared" si="9"/>
        <v>30708506237000200066203</v>
      </c>
      <c r="G319" s="5">
        <v>75457476350086</v>
      </c>
      <c r="H319" s="1">
        <v>80</v>
      </c>
      <c r="I319" s="5">
        <v>30708506237</v>
      </c>
      <c r="J319" s="1" t="s">
        <v>132</v>
      </c>
      <c r="K319" s="5">
        <v>1</v>
      </c>
      <c r="L319" s="1" t="s">
        <v>168</v>
      </c>
      <c r="M319" s="2">
        <v>45885.68</v>
      </c>
      <c r="N319" s="5">
        <v>0</v>
      </c>
      <c r="O319" s="5">
        <v>0</v>
      </c>
      <c r="P319" s="5">
        <v>0</v>
      </c>
      <c r="Q319" s="2">
        <v>9635.99</v>
      </c>
      <c r="R319" s="5">
        <v>55521.67</v>
      </c>
    </row>
    <row r="320" spans="1:18" x14ac:dyDescent="0.25">
      <c r="A320" s="1">
        <v>45972</v>
      </c>
      <c r="B320" s="1">
        <v>1</v>
      </c>
      <c r="C320" s="5">
        <v>2</v>
      </c>
      <c r="D320" s="5">
        <v>10374</v>
      </c>
      <c r="E320" s="7" t="str">
        <f t="shared" si="8"/>
        <v>000200010374</v>
      </c>
      <c r="F320" s="7" t="str">
        <f t="shared" si="9"/>
        <v>30642674567000200010374</v>
      </c>
      <c r="G320" s="5">
        <v>75467579223457</v>
      </c>
      <c r="H320" s="1">
        <v>80</v>
      </c>
      <c r="I320" s="5">
        <v>30642674567</v>
      </c>
      <c r="J320" s="1" t="s">
        <v>184</v>
      </c>
      <c r="K320" s="5">
        <v>1</v>
      </c>
      <c r="L320" s="1" t="s">
        <v>168</v>
      </c>
      <c r="M320" s="5">
        <v>74058.5</v>
      </c>
      <c r="N320" s="5">
        <v>0</v>
      </c>
      <c r="O320" s="5">
        <v>0</v>
      </c>
      <c r="P320" s="5">
        <v>0</v>
      </c>
      <c r="Q320" s="2">
        <v>15552.29</v>
      </c>
      <c r="R320" s="2">
        <v>89610.79</v>
      </c>
    </row>
    <row r="321" spans="1:18" x14ac:dyDescent="0.25">
      <c r="A321" s="1">
        <v>45972</v>
      </c>
      <c r="B321" s="1">
        <v>1</v>
      </c>
      <c r="C321" s="5">
        <v>267</v>
      </c>
      <c r="D321" s="5">
        <v>907098</v>
      </c>
      <c r="E321" s="7" t="str">
        <f t="shared" si="8"/>
        <v>026700907098</v>
      </c>
      <c r="F321" s="7" t="str">
        <f t="shared" si="9"/>
        <v>30500529454026700907098</v>
      </c>
      <c r="G321" s="5">
        <v>75464572308041</v>
      </c>
      <c r="H321" s="1">
        <v>80</v>
      </c>
      <c r="I321" s="5">
        <v>30500529454</v>
      </c>
      <c r="J321" s="1" t="s">
        <v>309</v>
      </c>
      <c r="K321" s="5">
        <v>1</v>
      </c>
      <c r="L321" s="1" t="s">
        <v>168</v>
      </c>
      <c r="M321" s="5">
        <v>6101946</v>
      </c>
      <c r="N321" s="5">
        <v>0</v>
      </c>
      <c r="O321" s="5">
        <v>0</v>
      </c>
      <c r="P321" s="5">
        <v>335607.03</v>
      </c>
      <c r="Q321" s="5">
        <v>1281408.6599999999</v>
      </c>
      <c r="R321" s="5">
        <v>7718961.7000000002</v>
      </c>
    </row>
    <row r="322" spans="1:18" x14ac:dyDescent="0.25">
      <c r="A322" s="1">
        <v>45972</v>
      </c>
      <c r="B322" s="1">
        <v>1</v>
      </c>
      <c r="C322" s="5">
        <v>267</v>
      </c>
      <c r="D322" s="5">
        <v>907099</v>
      </c>
      <c r="E322" s="7" t="str">
        <f t="shared" si="8"/>
        <v>026700907099</v>
      </c>
      <c r="F322" s="7" t="str">
        <f t="shared" si="9"/>
        <v>30500529454026700907099</v>
      </c>
      <c r="G322" s="5">
        <v>75464572333786</v>
      </c>
      <c r="H322" s="1">
        <v>80</v>
      </c>
      <c r="I322" s="5">
        <v>30500529454</v>
      </c>
      <c r="J322" s="1" t="s">
        <v>309</v>
      </c>
      <c r="K322" s="5">
        <v>1</v>
      </c>
      <c r="L322" s="1" t="s">
        <v>168</v>
      </c>
      <c r="M322" s="2">
        <v>17596896.899999999</v>
      </c>
      <c r="N322" s="5">
        <v>0</v>
      </c>
      <c r="O322" s="5">
        <v>0</v>
      </c>
      <c r="P322" s="5">
        <v>967829.33</v>
      </c>
      <c r="Q322" s="2">
        <v>3695348.35</v>
      </c>
      <c r="R322" s="5">
        <v>22260074.579999998</v>
      </c>
    </row>
    <row r="323" spans="1:18" x14ac:dyDescent="0.25">
      <c r="A323" s="1">
        <v>45973</v>
      </c>
      <c r="B323" s="1">
        <v>1</v>
      </c>
      <c r="C323" s="5">
        <v>23</v>
      </c>
      <c r="D323" s="5">
        <v>22705</v>
      </c>
      <c r="E323" s="7" t="str">
        <f t="shared" ref="E323:E386" si="10">TEXT(C323,"0000")&amp;TEXT(D323,"00000000")</f>
        <v>002300022705</v>
      </c>
      <c r="F323" s="7" t="str">
        <f t="shared" ref="F323:F386" si="11">I323&amp;E323</f>
        <v>30715706934002300022705</v>
      </c>
      <c r="G323" s="5">
        <v>75464571891370</v>
      </c>
      <c r="H323" s="1">
        <v>80</v>
      </c>
      <c r="I323" s="5">
        <v>30715706934</v>
      </c>
      <c r="J323" s="1" t="s">
        <v>61</v>
      </c>
      <c r="K323" s="5">
        <v>1</v>
      </c>
      <c r="L323" s="1" t="s">
        <v>168</v>
      </c>
      <c r="M323" s="2">
        <v>58985.36</v>
      </c>
      <c r="N323" s="5">
        <v>0</v>
      </c>
      <c r="O323" s="5">
        <v>0</v>
      </c>
      <c r="P323" s="5">
        <v>8627.6200000000008</v>
      </c>
      <c r="Q323" s="2">
        <v>12386.93</v>
      </c>
      <c r="R323" s="5">
        <v>79999.91</v>
      </c>
    </row>
    <row r="324" spans="1:18" x14ac:dyDescent="0.25">
      <c r="A324" s="1">
        <v>45973</v>
      </c>
      <c r="B324" s="1">
        <v>1</v>
      </c>
      <c r="C324" s="5">
        <v>267</v>
      </c>
      <c r="D324" s="5">
        <v>907443</v>
      </c>
      <c r="E324" s="7" t="str">
        <f t="shared" si="10"/>
        <v>026700907443</v>
      </c>
      <c r="F324" s="7" t="str">
        <f t="shared" si="11"/>
        <v>30500529454026700907443</v>
      </c>
      <c r="G324" s="5">
        <v>75464726221168</v>
      </c>
      <c r="H324" s="1">
        <v>80</v>
      </c>
      <c r="I324" s="5">
        <v>30500529454</v>
      </c>
      <c r="J324" s="1" t="s">
        <v>309</v>
      </c>
      <c r="K324" s="5">
        <v>1</v>
      </c>
      <c r="L324" s="1" t="s">
        <v>168</v>
      </c>
      <c r="M324" s="2">
        <v>75081171.239999995</v>
      </c>
      <c r="N324" s="5">
        <v>0</v>
      </c>
      <c r="O324" s="5">
        <v>0</v>
      </c>
      <c r="P324" s="5">
        <v>4129464.42</v>
      </c>
      <c r="Q324" s="2">
        <v>15767045.960000001</v>
      </c>
      <c r="R324" s="5">
        <v>94977681.549999997</v>
      </c>
    </row>
    <row r="325" spans="1:18" x14ac:dyDescent="0.25">
      <c r="A325" s="1">
        <v>45974</v>
      </c>
      <c r="B325" s="1">
        <v>3</v>
      </c>
      <c r="C325" s="5">
        <v>21</v>
      </c>
      <c r="D325" s="5">
        <v>243458</v>
      </c>
      <c r="E325" s="7" t="str">
        <f t="shared" si="10"/>
        <v>002100243458</v>
      </c>
      <c r="F325" s="7" t="str">
        <f t="shared" si="11"/>
        <v>33522734549002100243458</v>
      </c>
      <c r="G325" s="5">
        <v>35439367218964</v>
      </c>
      <c r="H325" s="1">
        <v>80</v>
      </c>
      <c r="I325" s="5">
        <v>33522734549</v>
      </c>
      <c r="J325" s="1" t="s">
        <v>193</v>
      </c>
      <c r="K325" s="5">
        <v>1</v>
      </c>
      <c r="L325" s="1" t="s">
        <v>168</v>
      </c>
      <c r="M325" s="2">
        <v>3618.76</v>
      </c>
      <c r="N325" s="5">
        <v>0</v>
      </c>
      <c r="O325" s="5">
        <v>0</v>
      </c>
      <c r="P325" s="5">
        <v>108.56</v>
      </c>
      <c r="Q325" s="2">
        <v>759.94</v>
      </c>
      <c r="R325" s="5">
        <v>4487.25</v>
      </c>
    </row>
    <row r="326" spans="1:18" x14ac:dyDescent="0.25">
      <c r="A326" s="1">
        <v>45975</v>
      </c>
      <c r="B326" s="1">
        <v>1</v>
      </c>
      <c r="C326" s="5">
        <v>4</v>
      </c>
      <c r="D326" s="5">
        <v>24096</v>
      </c>
      <c r="E326" s="7" t="str">
        <f t="shared" si="10"/>
        <v>000400024096</v>
      </c>
      <c r="F326" s="7" t="str">
        <f t="shared" si="11"/>
        <v>30676106150000400024096</v>
      </c>
      <c r="G326" s="5">
        <v>75460844844347</v>
      </c>
      <c r="H326" s="1">
        <v>80</v>
      </c>
      <c r="I326" s="5">
        <v>30676106150</v>
      </c>
      <c r="J326" s="1" t="s">
        <v>921</v>
      </c>
      <c r="K326" s="5">
        <v>1</v>
      </c>
      <c r="L326" s="1" t="s">
        <v>168</v>
      </c>
      <c r="M326" s="1">
        <v>208264.46</v>
      </c>
      <c r="N326" s="5">
        <v>0</v>
      </c>
      <c r="O326" s="5">
        <v>0</v>
      </c>
      <c r="P326" s="5">
        <v>0</v>
      </c>
      <c r="Q326" s="2">
        <v>43735.54</v>
      </c>
      <c r="R326" s="2">
        <v>252000</v>
      </c>
    </row>
    <row r="327" spans="1:18" x14ac:dyDescent="0.25">
      <c r="A327" s="1">
        <v>45975</v>
      </c>
      <c r="B327" s="1">
        <v>1</v>
      </c>
      <c r="C327" s="5">
        <v>7</v>
      </c>
      <c r="D327" s="5">
        <v>567778</v>
      </c>
      <c r="E327" s="7" t="str">
        <f t="shared" si="10"/>
        <v>000700567778</v>
      </c>
      <c r="F327" s="7" t="str">
        <f t="shared" si="11"/>
        <v>30501044551000700567778</v>
      </c>
      <c r="G327" s="5">
        <v>75461857374635</v>
      </c>
      <c r="H327" s="1">
        <v>80</v>
      </c>
      <c r="I327" s="5">
        <v>30501044551</v>
      </c>
      <c r="J327" s="1" t="s">
        <v>187</v>
      </c>
      <c r="K327" s="5">
        <v>1</v>
      </c>
      <c r="L327" s="1" t="s">
        <v>168</v>
      </c>
      <c r="M327" s="2">
        <v>360608.64</v>
      </c>
      <c r="N327" s="5">
        <v>0</v>
      </c>
      <c r="O327" s="5">
        <v>0</v>
      </c>
      <c r="P327" s="2">
        <v>19833.48</v>
      </c>
      <c r="Q327" s="2">
        <v>75727.81</v>
      </c>
      <c r="R327" s="2">
        <v>456169.93</v>
      </c>
    </row>
    <row r="328" spans="1:18" x14ac:dyDescent="0.25">
      <c r="A328" s="1">
        <v>45975</v>
      </c>
      <c r="B328" s="1">
        <v>1</v>
      </c>
      <c r="C328" s="5">
        <v>10</v>
      </c>
      <c r="D328" s="5">
        <v>16777</v>
      </c>
      <c r="E328" s="7" t="str">
        <f t="shared" si="10"/>
        <v>001000016777</v>
      </c>
      <c r="F328" s="7" t="str">
        <f t="shared" si="11"/>
        <v>30682681108001000016777</v>
      </c>
      <c r="G328" s="5">
        <v>75468125702995</v>
      </c>
      <c r="H328" s="1">
        <v>80</v>
      </c>
      <c r="I328" s="5">
        <v>30682681108</v>
      </c>
      <c r="J328" s="1" t="s">
        <v>205</v>
      </c>
      <c r="K328" s="5">
        <v>1406</v>
      </c>
      <c r="L328" s="1" t="s">
        <v>206</v>
      </c>
      <c r="M328" s="2">
        <v>65.64</v>
      </c>
      <c r="N328" s="5">
        <v>0</v>
      </c>
      <c r="O328" s="5">
        <v>0</v>
      </c>
      <c r="P328" s="5">
        <v>0</v>
      </c>
      <c r="Q328" s="2">
        <v>13.78</v>
      </c>
      <c r="R328" s="5">
        <v>79.42</v>
      </c>
    </row>
    <row r="329" spans="1:18" x14ac:dyDescent="0.25">
      <c r="A329" s="1">
        <v>45976</v>
      </c>
      <c r="B329" s="1">
        <v>1</v>
      </c>
      <c r="C329" s="5">
        <v>6</v>
      </c>
      <c r="D329" s="5">
        <v>53284</v>
      </c>
      <c r="E329" s="7" t="str">
        <f t="shared" si="10"/>
        <v>000600053284</v>
      </c>
      <c r="F329" s="7" t="str">
        <f t="shared" si="11"/>
        <v>20937543094000600053284</v>
      </c>
      <c r="G329" s="5">
        <v>75464024437080</v>
      </c>
      <c r="H329" s="1">
        <v>80</v>
      </c>
      <c r="I329" s="5">
        <v>20937543094</v>
      </c>
      <c r="J329" s="1" t="s">
        <v>922</v>
      </c>
      <c r="K329" s="5">
        <v>1</v>
      </c>
      <c r="L329" s="1" t="s">
        <v>168</v>
      </c>
      <c r="M329" s="2">
        <v>39502.480000000003</v>
      </c>
      <c r="N329" s="5">
        <v>0</v>
      </c>
      <c r="O329" s="5">
        <v>0</v>
      </c>
      <c r="P329" s="5">
        <v>0</v>
      </c>
      <c r="Q329" s="2">
        <v>8295.52</v>
      </c>
      <c r="R329" s="2">
        <v>47798</v>
      </c>
    </row>
    <row r="330" spans="1:18" x14ac:dyDescent="0.25">
      <c r="A330" s="1">
        <v>45976</v>
      </c>
      <c r="B330" s="1">
        <v>1</v>
      </c>
      <c r="C330" s="5">
        <v>89</v>
      </c>
      <c r="D330" s="5">
        <v>116561</v>
      </c>
      <c r="E330" s="7" t="str">
        <f t="shared" si="10"/>
        <v>008900116561</v>
      </c>
      <c r="F330" s="7" t="str">
        <f t="shared" si="11"/>
        <v>30710854072008900116561</v>
      </c>
      <c r="G330" s="5">
        <v>75462022428912</v>
      </c>
      <c r="H330" s="1">
        <v>80</v>
      </c>
      <c r="I330" s="5">
        <v>30710854072</v>
      </c>
      <c r="J330" s="1" t="s">
        <v>923</v>
      </c>
      <c r="K330" s="5">
        <v>1</v>
      </c>
      <c r="L330" s="1" t="s">
        <v>168</v>
      </c>
      <c r="M330" s="1">
        <v>314033.06</v>
      </c>
      <c r="N330" s="5">
        <v>0</v>
      </c>
      <c r="O330" s="5">
        <v>0</v>
      </c>
      <c r="P330" s="5">
        <v>0</v>
      </c>
      <c r="Q330" s="1">
        <v>65946.94</v>
      </c>
      <c r="R330" s="5">
        <v>379980</v>
      </c>
    </row>
    <row r="331" spans="1:18" x14ac:dyDescent="0.25">
      <c r="A331" s="1">
        <v>45978</v>
      </c>
      <c r="B331" s="1">
        <v>1</v>
      </c>
      <c r="C331" s="5">
        <v>4264</v>
      </c>
      <c r="D331" s="5">
        <v>6127492</v>
      </c>
      <c r="E331" s="7" t="str">
        <f t="shared" si="10"/>
        <v>426406127492</v>
      </c>
      <c r="F331" s="7" t="str">
        <f t="shared" si="11"/>
        <v>30639453738426406127492</v>
      </c>
      <c r="G331" s="5">
        <v>75468376264499</v>
      </c>
      <c r="H331" s="1">
        <v>80</v>
      </c>
      <c r="I331" s="5">
        <v>30639453738</v>
      </c>
      <c r="J331" s="1" t="s">
        <v>118</v>
      </c>
      <c r="K331" s="5">
        <v>1</v>
      </c>
      <c r="L331" s="1" t="s">
        <v>168</v>
      </c>
      <c r="M331" s="2">
        <v>56025</v>
      </c>
      <c r="N331" s="5">
        <v>0</v>
      </c>
      <c r="O331" s="5">
        <v>0</v>
      </c>
      <c r="P331" s="2">
        <v>1680.75</v>
      </c>
      <c r="Q331" s="2">
        <v>11765.25</v>
      </c>
      <c r="R331" s="2">
        <v>69471</v>
      </c>
    </row>
    <row r="332" spans="1:18" x14ac:dyDescent="0.25">
      <c r="A332" s="1">
        <v>45980</v>
      </c>
      <c r="B332" s="1">
        <v>1</v>
      </c>
      <c r="C332" s="5">
        <v>5</v>
      </c>
      <c r="D332" s="5">
        <v>13143</v>
      </c>
      <c r="E332" s="7" t="str">
        <f t="shared" si="10"/>
        <v>000500013143</v>
      </c>
      <c r="F332" s="7" t="str">
        <f t="shared" si="11"/>
        <v>30707509976000500013143</v>
      </c>
      <c r="G332" s="5">
        <v>75476470114890</v>
      </c>
      <c r="H332" s="1">
        <v>80</v>
      </c>
      <c r="I332" s="5">
        <v>30707509976</v>
      </c>
      <c r="J332" s="1" t="s">
        <v>171</v>
      </c>
      <c r="K332" s="5">
        <v>1</v>
      </c>
      <c r="L332" s="1" t="s">
        <v>168</v>
      </c>
      <c r="M332" s="2">
        <v>216484.46</v>
      </c>
      <c r="N332" s="1">
        <v>0</v>
      </c>
      <c r="O332" s="1">
        <v>0</v>
      </c>
      <c r="P332" s="5">
        <v>0</v>
      </c>
      <c r="Q332" s="2">
        <v>45461.74</v>
      </c>
      <c r="R332" s="2">
        <v>261946.2</v>
      </c>
    </row>
    <row r="333" spans="1:18" x14ac:dyDescent="0.25">
      <c r="A333" s="1">
        <v>45980</v>
      </c>
      <c r="B333" s="1">
        <v>1</v>
      </c>
      <c r="C333" s="5">
        <v>4</v>
      </c>
      <c r="D333" s="5">
        <v>67162</v>
      </c>
      <c r="E333" s="7" t="str">
        <f t="shared" si="10"/>
        <v>000400067162</v>
      </c>
      <c r="F333" s="7" t="str">
        <f t="shared" si="11"/>
        <v>30715594427000400067162</v>
      </c>
      <c r="G333" s="5">
        <v>75477450810369</v>
      </c>
      <c r="H333" s="1">
        <v>80</v>
      </c>
      <c r="I333" s="5">
        <v>30715594427</v>
      </c>
      <c r="J333" s="1" t="s">
        <v>319</v>
      </c>
      <c r="K333" s="5">
        <v>1</v>
      </c>
      <c r="L333" s="1" t="s">
        <v>168</v>
      </c>
      <c r="M333" s="1">
        <v>17200</v>
      </c>
      <c r="N333" s="1">
        <v>0</v>
      </c>
      <c r="O333" s="1">
        <v>0</v>
      </c>
      <c r="P333" s="2">
        <v>0</v>
      </c>
      <c r="Q333" s="2">
        <v>3612</v>
      </c>
      <c r="R333" s="2">
        <v>20812</v>
      </c>
    </row>
    <row r="334" spans="1:18" x14ac:dyDescent="0.25">
      <c r="A334" s="1">
        <v>45980</v>
      </c>
      <c r="B334" s="1">
        <v>1</v>
      </c>
      <c r="C334" s="5">
        <v>5</v>
      </c>
      <c r="D334" s="5">
        <v>15298</v>
      </c>
      <c r="E334" s="7" t="str">
        <f t="shared" si="10"/>
        <v>000500015298</v>
      </c>
      <c r="F334" s="7" t="str">
        <f t="shared" si="11"/>
        <v>23066238849000500015298</v>
      </c>
      <c r="G334" s="5">
        <v>75479451504900</v>
      </c>
      <c r="H334" s="1">
        <v>80</v>
      </c>
      <c r="I334" s="5">
        <v>23066238849</v>
      </c>
      <c r="J334" s="1" t="s">
        <v>138</v>
      </c>
      <c r="K334" s="5">
        <v>1</v>
      </c>
      <c r="L334" s="1" t="s">
        <v>168</v>
      </c>
      <c r="M334" s="1">
        <v>33057.85</v>
      </c>
      <c r="N334" s="1">
        <v>0</v>
      </c>
      <c r="O334" s="1">
        <v>0</v>
      </c>
      <c r="P334" s="2">
        <v>0</v>
      </c>
      <c r="Q334" s="2">
        <v>6942.15</v>
      </c>
      <c r="R334" s="2">
        <v>40000</v>
      </c>
    </row>
    <row r="335" spans="1:18" x14ac:dyDescent="0.25">
      <c r="A335" s="1">
        <v>45980</v>
      </c>
      <c r="B335" s="1">
        <v>1</v>
      </c>
      <c r="C335" s="5">
        <v>5</v>
      </c>
      <c r="D335" s="5">
        <v>3935</v>
      </c>
      <c r="E335" s="7" t="str">
        <f t="shared" si="10"/>
        <v>000500003935</v>
      </c>
      <c r="F335" s="7" t="str">
        <f t="shared" si="11"/>
        <v>23322188439000500003935</v>
      </c>
      <c r="G335" s="5">
        <v>75479444129859</v>
      </c>
      <c r="H335" s="1">
        <v>80</v>
      </c>
      <c r="I335" s="5">
        <v>23322188439</v>
      </c>
      <c r="J335" s="1" t="s">
        <v>146</v>
      </c>
      <c r="K335" s="5">
        <v>1</v>
      </c>
      <c r="L335" s="1" t="s">
        <v>168</v>
      </c>
      <c r="M335" s="2">
        <v>16000</v>
      </c>
      <c r="N335" s="1">
        <v>0</v>
      </c>
      <c r="O335" s="1">
        <v>0</v>
      </c>
      <c r="P335" s="2">
        <v>0</v>
      </c>
      <c r="Q335" s="2">
        <v>3360</v>
      </c>
      <c r="R335" s="2">
        <v>19360</v>
      </c>
    </row>
    <row r="336" spans="1:18" x14ac:dyDescent="0.25">
      <c r="A336" s="1">
        <v>45980</v>
      </c>
      <c r="B336" s="1">
        <v>11</v>
      </c>
      <c r="C336" s="5">
        <v>3</v>
      </c>
      <c r="D336" s="5">
        <v>4205</v>
      </c>
      <c r="E336" s="7" t="str">
        <f t="shared" si="10"/>
        <v>000300004205</v>
      </c>
      <c r="F336" s="7" t="str">
        <f t="shared" si="11"/>
        <v>30610232201000300004205</v>
      </c>
      <c r="G336" s="5">
        <v>75471524712869</v>
      </c>
      <c r="H336" s="1">
        <v>80</v>
      </c>
      <c r="I336" s="5">
        <v>30610232201</v>
      </c>
      <c r="J336" s="1" t="s">
        <v>202</v>
      </c>
      <c r="K336" s="5">
        <v>1</v>
      </c>
      <c r="L336" s="1" t="s">
        <v>168</v>
      </c>
      <c r="M336" s="2">
        <v>0</v>
      </c>
      <c r="N336" s="1">
        <v>0</v>
      </c>
      <c r="O336" s="1">
        <v>0</v>
      </c>
      <c r="P336" s="1">
        <v>0</v>
      </c>
      <c r="Q336" s="2">
        <v>0</v>
      </c>
      <c r="R336" s="2">
        <v>45000</v>
      </c>
    </row>
    <row r="337" spans="1:18" x14ac:dyDescent="0.25">
      <c r="A337" s="1">
        <v>45981</v>
      </c>
      <c r="B337" s="1">
        <v>1</v>
      </c>
      <c r="C337" s="5">
        <v>10</v>
      </c>
      <c r="D337" s="5">
        <v>12316</v>
      </c>
      <c r="E337" s="7" t="str">
        <f t="shared" si="10"/>
        <v>001000012316</v>
      </c>
      <c r="F337" s="7" t="str">
        <f t="shared" si="11"/>
        <v>30502036269001000012316</v>
      </c>
      <c r="G337" s="5">
        <v>75479593847546</v>
      </c>
      <c r="H337" s="1">
        <v>80</v>
      </c>
      <c r="I337" s="5">
        <v>30502036269</v>
      </c>
      <c r="J337" s="1" t="s">
        <v>185</v>
      </c>
      <c r="K337" s="5">
        <v>1</v>
      </c>
      <c r="L337" s="1" t="s">
        <v>168</v>
      </c>
      <c r="M337" s="2">
        <v>1315481.71</v>
      </c>
      <c r="N337" s="1">
        <v>0</v>
      </c>
      <c r="O337" s="1">
        <v>0</v>
      </c>
      <c r="P337" s="2">
        <v>0</v>
      </c>
      <c r="Q337" s="2">
        <v>276251.15999999997</v>
      </c>
      <c r="R337" s="2">
        <v>1591732.87</v>
      </c>
    </row>
    <row r="338" spans="1:18" x14ac:dyDescent="0.25">
      <c r="A338" s="1">
        <v>45981</v>
      </c>
      <c r="B338" s="1">
        <v>1</v>
      </c>
      <c r="C338" s="5">
        <v>3</v>
      </c>
      <c r="D338" s="5">
        <v>202</v>
      </c>
      <c r="E338" s="7" t="str">
        <f t="shared" si="10"/>
        <v>000300000202</v>
      </c>
      <c r="F338" s="7" t="str">
        <f t="shared" si="11"/>
        <v>20362739307000300000202</v>
      </c>
      <c r="G338" s="5">
        <v>75477599607142</v>
      </c>
      <c r="H338" s="1">
        <v>80</v>
      </c>
      <c r="I338" s="5">
        <v>20362739307</v>
      </c>
      <c r="J338" s="1" t="s">
        <v>753</v>
      </c>
      <c r="K338" s="5">
        <v>1</v>
      </c>
      <c r="L338" s="1" t="s">
        <v>168</v>
      </c>
      <c r="M338" s="1">
        <v>675000</v>
      </c>
      <c r="N338" s="1">
        <v>0</v>
      </c>
      <c r="O338" s="1">
        <v>0</v>
      </c>
      <c r="P338" s="2">
        <v>0</v>
      </c>
      <c r="Q338" s="2">
        <v>141750</v>
      </c>
      <c r="R338" s="2">
        <v>816750</v>
      </c>
    </row>
    <row r="339" spans="1:18" x14ac:dyDescent="0.25">
      <c r="A339" s="1">
        <v>45981</v>
      </c>
      <c r="B339" s="1">
        <v>1</v>
      </c>
      <c r="C339" s="5">
        <v>5</v>
      </c>
      <c r="D339" s="5">
        <v>514</v>
      </c>
      <c r="E339" s="7" t="str">
        <f t="shared" si="10"/>
        <v>000500000514</v>
      </c>
      <c r="F339" s="7" t="str">
        <f t="shared" si="11"/>
        <v>20177699889000500000514</v>
      </c>
      <c r="G339" s="5">
        <v>75479690941030</v>
      </c>
      <c r="H339" s="1">
        <v>80</v>
      </c>
      <c r="I339" s="5">
        <v>20177699889</v>
      </c>
      <c r="J339" s="1" t="s">
        <v>250</v>
      </c>
      <c r="K339" s="5">
        <v>1</v>
      </c>
      <c r="L339" s="1" t="s">
        <v>168</v>
      </c>
      <c r="M339" s="2">
        <v>36363.620000000003</v>
      </c>
      <c r="N339" s="5">
        <v>0</v>
      </c>
      <c r="O339" s="5">
        <v>0</v>
      </c>
      <c r="P339" s="5">
        <v>0</v>
      </c>
      <c r="Q339" s="2">
        <v>7636.36</v>
      </c>
      <c r="R339" s="2">
        <v>44000</v>
      </c>
    </row>
    <row r="340" spans="1:18" x14ac:dyDescent="0.25">
      <c r="A340" s="1">
        <v>45981</v>
      </c>
      <c r="B340" s="1">
        <v>1</v>
      </c>
      <c r="C340" s="5">
        <v>2</v>
      </c>
      <c r="D340" s="5">
        <v>380</v>
      </c>
      <c r="E340" s="7" t="str">
        <f t="shared" si="10"/>
        <v>000200000380</v>
      </c>
      <c r="F340" s="7" t="str">
        <f t="shared" si="11"/>
        <v>20313376045000200000380</v>
      </c>
      <c r="G340" s="5">
        <v>75475609650708</v>
      </c>
      <c r="H340" s="1">
        <v>80</v>
      </c>
      <c r="I340" s="5">
        <v>20313376045</v>
      </c>
      <c r="J340" s="1" t="s">
        <v>277</v>
      </c>
      <c r="K340" s="5">
        <v>1</v>
      </c>
      <c r="L340" s="1" t="s">
        <v>168</v>
      </c>
      <c r="M340" s="2">
        <v>290000</v>
      </c>
      <c r="N340" s="5">
        <v>0</v>
      </c>
      <c r="O340" s="5">
        <v>0</v>
      </c>
      <c r="P340" s="5">
        <v>0</v>
      </c>
      <c r="Q340" s="2">
        <v>60900</v>
      </c>
      <c r="R340" s="2">
        <v>350900</v>
      </c>
    </row>
    <row r="341" spans="1:18" x14ac:dyDescent="0.25">
      <c r="A341" s="1">
        <v>45981</v>
      </c>
      <c r="B341" s="1">
        <v>1</v>
      </c>
      <c r="C341" s="5">
        <v>3</v>
      </c>
      <c r="D341" s="5">
        <v>1549</v>
      </c>
      <c r="E341" s="7" t="str">
        <f t="shared" si="10"/>
        <v>000300001549</v>
      </c>
      <c r="F341" s="7" t="str">
        <f t="shared" si="11"/>
        <v>20162895142000300001549</v>
      </c>
      <c r="G341" s="5">
        <v>75472667866394</v>
      </c>
      <c r="H341" s="1">
        <v>80</v>
      </c>
      <c r="I341" s="5">
        <v>20162895142</v>
      </c>
      <c r="J341" s="1" t="s">
        <v>62</v>
      </c>
      <c r="K341" s="5">
        <v>1</v>
      </c>
      <c r="L341" s="1" t="s">
        <v>168</v>
      </c>
      <c r="M341" s="2">
        <v>38181.81</v>
      </c>
      <c r="N341" s="5">
        <v>0</v>
      </c>
      <c r="O341" s="5">
        <v>0</v>
      </c>
      <c r="P341" s="5">
        <v>0</v>
      </c>
      <c r="Q341" s="2">
        <v>8018.18</v>
      </c>
      <c r="R341" s="2">
        <v>46200</v>
      </c>
    </row>
    <row r="342" spans="1:18" x14ac:dyDescent="0.25">
      <c r="A342" s="1">
        <v>45981</v>
      </c>
      <c r="B342" s="1">
        <v>1</v>
      </c>
      <c r="C342" s="5">
        <v>1</v>
      </c>
      <c r="D342" s="5">
        <v>598</v>
      </c>
      <c r="E342" s="7" t="str">
        <f t="shared" si="10"/>
        <v>000100000598</v>
      </c>
      <c r="F342" s="7" t="str">
        <f t="shared" si="11"/>
        <v>30718177894000100000598</v>
      </c>
      <c r="G342" s="5">
        <v>75474571348396</v>
      </c>
      <c r="H342" s="1">
        <v>80</v>
      </c>
      <c r="I342" s="5">
        <v>30718177894</v>
      </c>
      <c r="J342" s="1" t="s">
        <v>321</v>
      </c>
      <c r="K342" s="5">
        <v>1</v>
      </c>
      <c r="L342" s="1" t="s">
        <v>168</v>
      </c>
      <c r="M342" s="2">
        <v>153099.19</v>
      </c>
      <c r="N342" s="1">
        <v>0</v>
      </c>
      <c r="O342" s="1">
        <v>0</v>
      </c>
      <c r="P342" s="5">
        <v>0</v>
      </c>
      <c r="Q342" s="2">
        <v>32150.83</v>
      </c>
      <c r="R342" s="2">
        <v>185250</v>
      </c>
    </row>
    <row r="343" spans="1:18" x14ac:dyDescent="0.25">
      <c r="A343" s="1">
        <v>45981</v>
      </c>
      <c r="B343" s="1">
        <v>1</v>
      </c>
      <c r="C343" s="5">
        <v>267</v>
      </c>
      <c r="D343" s="5">
        <v>908552</v>
      </c>
      <c r="E343" s="7" t="str">
        <f t="shared" si="10"/>
        <v>026700908552</v>
      </c>
      <c r="F343" s="7" t="str">
        <f t="shared" si="11"/>
        <v>30500529454026700908552</v>
      </c>
      <c r="G343" s="5">
        <v>75474575111633</v>
      </c>
      <c r="H343" s="1">
        <v>80</v>
      </c>
      <c r="I343" s="5">
        <v>30500529454</v>
      </c>
      <c r="J343" s="1" t="s">
        <v>309</v>
      </c>
      <c r="K343" s="5">
        <v>1</v>
      </c>
      <c r="L343" s="1" t="s">
        <v>168</v>
      </c>
      <c r="M343" s="1">
        <v>330861.05</v>
      </c>
      <c r="N343" s="1">
        <v>0</v>
      </c>
      <c r="O343" s="1">
        <v>0</v>
      </c>
      <c r="P343" s="5">
        <v>18197.36</v>
      </c>
      <c r="Q343" s="1">
        <v>69480.820000000007</v>
      </c>
      <c r="R343" s="5">
        <v>418539.25</v>
      </c>
    </row>
    <row r="344" spans="1:18" x14ac:dyDescent="0.25">
      <c r="A344" s="1">
        <v>45981</v>
      </c>
      <c r="B344" s="1">
        <v>1</v>
      </c>
      <c r="C344" s="5">
        <v>267</v>
      </c>
      <c r="D344" s="5">
        <v>908553</v>
      </c>
      <c r="E344" s="7" t="str">
        <f t="shared" si="10"/>
        <v>026700908553</v>
      </c>
      <c r="F344" s="7" t="str">
        <f t="shared" si="11"/>
        <v>30500529454026700908553</v>
      </c>
      <c r="G344" s="5">
        <v>75474575125999</v>
      </c>
      <c r="H344" s="1">
        <v>80</v>
      </c>
      <c r="I344" s="5">
        <v>30500529454</v>
      </c>
      <c r="J344" s="1" t="s">
        <v>309</v>
      </c>
      <c r="K344" s="5">
        <v>1</v>
      </c>
      <c r="L344" s="1" t="s">
        <v>168</v>
      </c>
      <c r="M344" s="2">
        <v>106989302.23999999</v>
      </c>
      <c r="N344" s="1">
        <v>0</v>
      </c>
      <c r="O344" s="1">
        <v>0</v>
      </c>
      <c r="P344" s="2">
        <v>5884411.6699999999</v>
      </c>
      <c r="Q344" s="1">
        <v>22467753.469999999</v>
      </c>
      <c r="R344" s="2">
        <v>135341467.22999999</v>
      </c>
    </row>
    <row r="345" spans="1:18" x14ac:dyDescent="0.25">
      <c r="A345" s="1">
        <v>45981</v>
      </c>
      <c r="B345" s="1">
        <v>1</v>
      </c>
      <c r="C345" s="5">
        <v>267</v>
      </c>
      <c r="D345" s="5">
        <v>908554</v>
      </c>
      <c r="E345" s="7" t="str">
        <f t="shared" si="10"/>
        <v>026700908554</v>
      </c>
      <c r="F345" s="7" t="str">
        <f t="shared" si="11"/>
        <v>30500529454026700908554</v>
      </c>
      <c r="G345" s="5">
        <v>75474575227621</v>
      </c>
      <c r="H345" s="1">
        <v>80</v>
      </c>
      <c r="I345" s="5">
        <v>30500529454</v>
      </c>
      <c r="J345" s="1" t="s">
        <v>309</v>
      </c>
      <c r="K345" s="5">
        <v>1</v>
      </c>
      <c r="L345" s="1" t="s">
        <v>168</v>
      </c>
      <c r="M345" s="2">
        <v>10999957.619999999</v>
      </c>
      <c r="N345" s="1">
        <v>0</v>
      </c>
      <c r="O345" s="1">
        <v>0</v>
      </c>
      <c r="P345" s="5">
        <v>604997.67000000004</v>
      </c>
      <c r="Q345" s="2">
        <v>2309991.1</v>
      </c>
      <c r="R345" s="1">
        <v>13914946.369999999</v>
      </c>
    </row>
    <row r="346" spans="1:18" x14ac:dyDescent="0.25">
      <c r="A346" s="1">
        <v>45981</v>
      </c>
      <c r="B346" s="1">
        <v>1</v>
      </c>
      <c r="C346" s="5">
        <v>21</v>
      </c>
      <c r="D346" s="5">
        <v>302320</v>
      </c>
      <c r="E346" s="7" t="str">
        <f t="shared" si="10"/>
        <v>002100302320</v>
      </c>
      <c r="F346" s="7" t="str">
        <f t="shared" si="11"/>
        <v>33522734549002100302320</v>
      </c>
      <c r="G346" s="5">
        <v>35459553583712</v>
      </c>
      <c r="H346" s="1">
        <v>80</v>
      </c>
      <c r="I346" s="5">
        <v>33522734549</v>
      </c>
      <c r="J346" s="1" t="s">
        <v>193</v>
      </c>
      <c r="K346" s="5">
        <v>1</v>
      </c>
      <c r="L346" s="1" t="s">
        <v>168</v>
      </c>
      <c r="M346" s="2">
        <v>1419147.86</v>
      </c>
      <c r="N346" s="1">
        <v>0</v>
      </c>
      <c r="O346" s="1">
        <v>0</v>
      </c>
      <c r="P346" s="2">
        <v>78053.14</v>
      </c>
      <c r="Q346" s="2">
        <v>298021.05</v>
      </c>
      <c r="R346" s="1">
        <v>1795222.07</v>
      </c>
    </row>
    <row r="347" spans="1:18" x14ac:dyDescent="0.25">
      <c r="A347" s="1">
        <v>45981</v>
      </c>
      <c r="B347" s="1">
        <v>1</v>
      </c>
      <c r="C347" s="5">
        <v>215</v>
      </c>
      <c r="D347" s="5">
        <v>100705</v>
      </c>
      <c r="E347" s="7" t="str">
        <f t="shared" si="10"/>
        <v>021500100705</v>
      </c>
      <c r="F347" s="7" t="str">
        <f t="shared" si="11"/>
        <v>30500529071021500100705</v>
      </c>
      <c r="G347" s="5">
        <v>35461728530290</v>
      </c>
      <c r="H347" s="1">
        <v>80</v>
      </c>
      <c r="I347" s="5">
        <v>30500529071</v>
      </c>
      <c r="J347" s="1" t="s">
        <v>179</v>
      </c>
      <c r="K347" s="5">
        <v>1</v>
      </c>
      <c r="L347" s="1" t="s">
        <v>168</v>
      </c>
      <c r="M347" s="2">
        <v>16596526.140000001</v>
      </c>
      <c r="P347" s="2">
        <v>912808.93</v>
      </c>
      <c r="Q347" s="2">
        <v>3485270.49</v>
      </c>
      <c r="R347" s="2">
        <v>20994605.550000001</v>
      </c>
    </row>
    <row r="348" spans="1:18" x14ac:dyDescent="0.25">
      <c r="A348" s="1">
        <v>45981</v>
      </c>
      <c r="B348" s="1">
        <v>2</v>
      </c>
      <c r="C348" s="5">
        <v>32</v>
      </c>
      <c r="D348" s="5">
        <v>29223</v>
      </c>
      <c r="E348" s="7" t="str">
        <f t="shared" si="10"/>
        <v>003200029223</v>
      </c>
      <c r="F348" s="7" t="str">
        <f t="shared" si="11"/>
        <v>30621181838003200029223</v>
      </c>
      <c r="G348" s="5">
        <v>75478643328628</v>
      </c>
      <c r="H348" s="1">
        <v>80</v>
      </c>
      <c r="I348" s="5">
        <v>30621181838</v>
      </c>
      <c r="J348" s="1" t="s">
        <v>180</v>
      </c>
      <c r="K348" s="5">
        <v>1</v>
      </c>
      <c r="L348" s="1" t="s">
        <v>168</v>
      </c>
      <c r="M348" s="2">
        <v>500500</v>
      </c>
      <c r="P348" s="5">
        <v>0</v>
      </c>
      <c r="Q348" s="2">
        <v>105</v>
      </c>
      <c r="R348" s="2">
        <v>500605</v>
      </c>
    </row>
    <row r="349" spans="1:18" x14ac:dyDescent="0.25">
      <c r="A349" s="1">
        <v>45981</v>
      </c>
      <c r="B349" s="1">
        <v>2</v>
      </c>
      <c r="C349" s="5">
        <v>32</v>
      </c>
      <c r="D349" s="5">
        <v>29224</v>
      </c>
      <c r="E349" s="7" t="str">
        <f t="shared" si="10"/>
        <v>003200029224</v>
      </c>
      <c r="F349" s="7" t="str">
        <f t="shared" si="11"/>
        <v>30621181838003200029224</v>
      </c>
      <c r="G349" s="5">
        <v>75478643362551</v>
      </c>
      <c r="H349" s="1">
        <v>80</v>
      </c>
      <c r="I349" s="5">
        <v>30621181838</v>
      </c>
      <c r="J349" s="1" t="s">
        <v>180</v>
      </c>
      <c r="K349" s="5">
        <v>1</v>
      </c>
      <c r="L349" s="1" t="s">
        <v>168</v>
      </c>
      <c r="M349" s="2">
        <v>719705.1</v>
      </c>
      <c r="P349" s="5">
        <v>0</v>
      </c>
      <c r="Q349" s="2">
        <v>105</v>
      </c>
      <c r="R349" s="2">
        <v>719810.1</v>
      </c>
    </row>
    <row r="350" spans="1:18" x14ac:dyDescent="0.25">
      <c r="A350" s="1">
        <v>45981</v>
      </c>
      <c r="B350" s="1">
        <v>2</v>
      </c>
      <c r="C350" s="5">
        <v>32</v>
      </c>
      <c r="D350" s="5">
        <v>29225</v>
      </c>
      <c r="E350" s="7" t="str">
        <f t="shared" si="10"/>
        <v>003200029225</v>
      </c>
      <c r="F350" s="7" t="str">
        <f t="shared" si="11"/>
        <v>30621181838003200029225</v>
      </c>
      <c r="G350" s="5">
        <v>75478643380966</v>
      </c>
      <c r="H350" s="1">
        <v>80</v>
      </c>
      <c r="I350" s="5">
        <v>30621181838</v>
      </c>
      <c r="J350" s="1" t="s">
        <v>180</v>
      </c>
      <c r="K350" s="5">
        <v>1</v>
      </c>
      <c r="L350" s="1" t="s">
        <v>168</v>
      </c>
      <c r="M350" s="2">
        <v>500500</v>
      </c>
      <c r="P350" s="5">
        <v>0</v>
      </c>
      <c r="Q350" s="2">
        <v>105</v>
      </c>
      <c r="R350" s="2">
        <v>500605</v>
      </c>
    </row>
    <row r="351" spans="1:18" x14ac:dyDescent="0.25">
      <c r="A351" s="1">
        <v>45981</v>
      </c>
      <c r="B351" s="1">
        <v>2</v>
      </c>
      <c r="C351" s="5">
        <v>32</v>
      </c>
      <c r="D351" s="5">
        <v>29226</v>
      </c>
      <c r="E351" s="7" t="str">
        <f t="shared" si="10"/>
        <v>003200029226</v>
      </c>
      <c r="F351" s="7" t="str">
        <f t="shared" si="11"/>
        <v>30621181838003200029226</v>
      </c>
      <c r="G351" s="5">
        <v>75478643400207</v>
      </c>
      <c r="H351" s="1">
        <v>80</v>
      </c>
      <c r="I351" s="5">
        <v>30621181838</v>
      </c>
      <c r="J351" s="1" t="s">
        <v>180</v>
      </c>
      <c r="K351" s="5">
        <v>1</v>
      </c>
      <c r="L351" s="1" t="s">
        <v>168</v>
      </c>
      <c r="M351" s="2">
        <v>719705.1</v>
      </c>
      <c r="P351" s="5">
        <v>0</v>
      </c>
      <c r="Q351" s="1">
        <v>105</v>
      </c>
      <c r="R351" s="1">
        <v>719810.1</v>
      </c>
    </row>
    <row r="352" spans="1:18" x14ac:dyDescent="0.25">
      <c r="A352" s="1">
        <v>45981</v>
      </c>
      <c r="B352" s="1">
        <v>2</v>
      </c>
      <c r="C352" s="5">
        <v>32</v>
      </c>
      <c r="D352" s="5">
        <v>29227</v>
      </c>
      <c r="E352" s="7" t="str">
        <f t="shared" si="10"/>
        <v>003200029227</v>
      </c>
      <c r="F352" s="7" t="str">
        <f t="shared" si="11"/>
        <v>30621181838003200029227</v>
      </c>
      <c r="G352" s="5">
        <v>75478643419880</v>
      </c>
      <c r="H352" s="1">
        <v>80</v>
      </c>
      <c r="I352" s="5">
        <v>30621181838</v>
      </c>
      <c r="J352" s="1" t="s">
        <v>180</v>
      </c>
      <c r="K352" s="5">
        <v>1</v>
      </c>
      <c r="L352" s="1" t="s">
        <v>168</v>
      </c>
      <c r="M352" s="2">
        <v>500500</v>
      </c>
      <c r="P352" s="2">
        <v>0</v>
      </c>
      <c r="Q352" s="2">
        <v>105</v>
      </c>
      <c r="R352" s="1">
        <v>500605</v>
      </c>
    </row>
    <row r="353" spans="1:18" x14ac:dyDescent="0.25">
      <c r="A353" s="1">
        <v>45981</v>
      </c>
      <c r="B353" s="1">
        <v>2</v>
      </c>
      <c r="C353" s="5">
        <v>32</v>
      </c>
      <c r="D353" s="5">
        <v>29228</v>
      </c>
      <c r="E353" s="7" t="str">
        <f t="shared" si="10"/>
        <v>003200029228</v>
      </c>
      <c r="F353" s="7" t="str">
        <f t="shared" si="11"/>
        <v>30621181838003200029228</v>
      </c>
      <c r="G353" s="5">
        <v>75478643443977</v>
      </c>
      <c r="H353" s="1">
        <v>80</v>
      </c>
      <c r="I353" s="5">
        <v>30621181838</v>
      </c>
      <c r="J353" s="1" t="s">
        <v>180</v>
      </c>
      <c r="K353" s="5">
        <v>1</v>
      </c>
      <c r="L353" s="1" t="s">
        <v>168</v>
      </c>
      <c r="M353" s="5">
        <v>500500</v>
      </c>
      <c r="P353" s="5">
        <v>0</v>
      </c>
      <c r="Q353" s="2">
        <v>105</v>
      </c>
      <c r="R353" s="2">
        <v>500605</v>
      </c>
    </row>
    <row r="354" spans="1:18" x14ac:dyDescent="0.25">
      <c r="A354" s="1">
        <v>45981</v>
      </c>
      <c r="B354" s="1">
        <v>2</v>
      </c>
      <c r="C354" s="5">
        <v>32</v>
      </c>
      <c r="D354" s="5">
        <v>29229</v>
      </c>
      <c r="E354" s="7" t="str">
        <f t="shared" si="10"/>
        <v>003200029229</v>
      </c>
      <c r="F354" s="7" t="str">
        <f t="shared" si="11"/>
        <v>30621181838003200029229</v>
      </c>
      <c r="G354" s="5">
        <v>75478643466329</v>
      </c>
      <c r="H354" s="1">
        <v>80</v>
      </c>
      <c r="I354" s="5">
        <v>30621181838</v>
      </c>
      <c r="J354" s="1" t="s">
        <v>180</v>
      </c>
      <c r="K354" s="5">
        <v>1</v>
      </c>
      <c r="L354" s="1" t="s">
        <v>168</v>
      </c>
      <c r="M354" s="2">
        <v>719705.1</v>
      </c>
      <c r="P354" s="2">
        <v>0</v>
      </c>
      <c r="Q354" s="2">
        <v>105</v>
      </c>
      <c r="R354" s="2">
        <v>719810.1</v>
      </c>
    </row>
    <row r="355" spans="1:18" x14ac:dyDescent="0.25">
      <c r="A355" s="1">
        <v>45981</v>
      </c>
      <c r="B355" s="1">
        <v>2</v>
      </c>
      <c r="C355" s="5">
        <v>32</v>
      </c>
      <c r="D355" s="5">
        <v>29230</v>
      </c>
      <c r="E355" s="7" t="str">
        <f t="shared" si="10"/>
        <v>003200029230</v>
      </c>
      <c r="F355" s="7" t="str">
        <f t="shared" si="11"/>
        <v>30621181838003200029230</v>
      </c>
      <c r="G355" s="5">
        <v>75478643490843</v>
      </c>
      <c r="H355" s="1">
        <v>80</v>
      </c>
      <c r="I355" s="5">
        <v>30621181838</v>
      </c>
      <c r="J355" s="1" t="s">
        <v>180</v>
      </c>
      <c r="K355" s="5">
        <v>1</v>
      </c>
      <c r="L355" s="1" t="s">
        <v>168</v>
      </c>
      <c r="M355" s="2">
        <v>719705.1</v>
      </c>
      <c r="P355" s="2">
        <v>0</v>
      </c>
      <c r="Q355" s="2">
        <v>105</v>
      </c>
      <c r="R355" s="2">
        <v>719810.1</v>
      </c>
    </row>
    <row r="356" spans="1:18" x14ac:dyDescent="0.25">
      <c r="A356" s="1">
        <v>45981</v>
      </c>
      <c r="B356" s="1">
        <v>2</v>
      </c>
      <c r="C356" s="5">
        <v>32</v>
      </c>
      <c r="D356" s="5">
        <v>29231</v>
      </c>
      <c r="E356" s="7" t="str">
        <f t="shared" si="10"/>
        <v>003200029231</v>
      </c>
      <c r="F356" s="7" t="str">
        <f t="shared" si="11"/>
        <v>30621181838003200029231</v>
      </c>
      <c r="G356" s="5">
        <v>75478643509889</v>
      </c>
      <c r="H356" s="1">
        <v>80</v>
      </c>
      <c r="I356" s="5">
        <v>30621181838</v>
      </c>
      <c r="J356" s="1" t="s">
        <v>180</v>
      </c>
      <c r="K356" s="5">
        <v>1</v>
      </c>
      <c r="L356" s="1" t="s">
        <v>168</v>
      </c>
      <c r="M356" s="2">
        <v>500500</v>
      </c>
      <c r="N356" s="5"/>
      <c r="O356" s="5"/>
      <c r="P356" s="5">
        <v>0</v>
      </c>
      <c r="Q356" s="2">
        <v>105</v>
      </c>
      <c r="R356" s="5">
        <v>500605</v>
      </c>
    </row>
    <row r="357" spans="1:18" x14ac:dyDescent="0.25">
      <c r="A357" s="1">
        <v>45981</v>
      </c>
      <c r="B357" s="1">
        <v>2</v>
      </c>
      <c r="C357" s="5">
        <v>32</v>
      </c>
      <c r="D357" s="5">
        <v>29232</v>
      </c>
      <c r="E357" s="7" t="str">
        <f t="shared" si="10"/>
        <v>003200029232</v>
      </c>
      <c r="F357" s="7" t="str">
        <f t="shared" si="11"/>
        <v>30621181838003200029232</v>
      </c>
      <c r="G357" s="5">
        <v>75478643531241</v>
      </c>
      <c r="H357" s="1">
        <v>80</v>
      </c>
      <c r="I357" s="5">
        <v>30621181838</v>
      </c>
      <c r="J357" s="1" t="s">
        <v>180</v>
      </c>
      <c r="K357" s="5">
        <v>1</v>
      </c>
      <c r="L357" s="1" t="s">
        <v>168</v>
      </c>
      <c r="M357" s="5">
        <v>500500</v>
      </c>
      <c r="N357" s="5"/>
      <c r="O357" s="5"/>
      <c r="P357" s="5">
        <v>0</v>
      </c>
      <c r="Q357" s="5">
        <v>105</v>
      </c>
      <c r="R357" s="5">
        <v>500605</v>
      </c>
    </row>
    <row r="358" spans="1:18" x14ac:dyDescent="0.25">
      <c r="A358" s="1">
        <v>45981</v>
      </c>
      <c r="B358" s="1">
        <v>2</v>
      </c>
      <c r="C358" s="5">
        <v>32</v>
      </c>
      <c r="D358" s="5">
        <v>29233</v>
      </c>
      <c r="E358" s="7" t="str">
        <f t="shared" si="10"/>
        <v>003200029233</v>
      </c>
      <c r="F358" s="7" t="str">
        <f t="shared" si="11"/>
        <v>30621181838003200029233</v>
      </c>
      <c r="G358" s="5">
        <v>75478643550791</v>
      </c>
      <c r="H358" s="1">
        <v>80</v>
      </c>
      <c r="I358" s="5">
        <v>30621181838</v>
      </c>
      <c r="J358" s="1" t="s">
        <v>180</v>
      </c>
      <c r="K358" s="5">
        <v>1</v>
      </c>
      <c r="L358" s="1" t="s">
        <v>168</v>
      </c>
      <c r="M358" s="2">
        <v>500500</v>
      </c>
      <c r="N358" s="5"/>
      <c r="O358" s="5"/>
      <c r="P358" s="2">
        <v>0</v>
      </c>
      <c r="Q358" s="2">
        <v>105</v>
      </c>
      <c r="R358" s="5">
        <v>500605</v>
      </c>
    </row>
    <row r="359" spans="1:18" x14ac:dyDescent="0.25">
      <c r="A359" s="1">
        <v>45981</v>
      </c>
      <c r="B359" s="1">
        <v>2</v>
      </c>
      <c r="C359" s="5">
        <v>32</v>
      </c>
      <c r="D359" s="5">
        <v>29219</v>
      </c>
      <c r="E359" s="7" t="str">
        <f t="shared" si="10"/>
        <v>003200029219</v>
      </c>
      <c r="F359" s="7" t="str">
        <f t="shared" si="11"/>
        <v>30621181838003200029219</v>
      </c>
      <c r="G359" s="5">
        <v>75478622306360</v>
      </c>
      <c r="H359" s="1">
        <v>80</v>
      </c>
      <c r="I359" s="5">
        <v>30621181838</v>
      </c>
      <c r="J359" s="1" t="s">
        <v>180</v>
      </c>
      <c r="K359" s="5">
        <v>1</v>
      </c>
      <c r="L359" s="1" t="s">
        <v>168</v>
      </c>
      <c r="M359" s="2">
        <v>500500</v>
      </c>
      <c r="N359" s="5"/>
      <c r="O359" s="5"/>
      <c r="P359" s="5">
        <v>0</v>
      </c>
      <c r="Q359" s="2">
        <v>105</v>
      </c>
      <c r="R359" s="1">
        <v>500605</v>
      </c>
    </row>
    <row r="360" spans="1:18" x14ac:dyDescent="0.25">
      <c r="A360" s="1">
        <v>45981</v>
      </c>
      <c r="B360" s="1">
        <v>2</v>
      </c>
      <c r="C360" s="5">
        <v>32</v>
      </c>
      <c r="D360" s="5">
        <v>29220</v>
      </c>
      <c r="E360" s="7" t="str">
        <f t="shared" si="10"/>
        <v>003200029220</v>
      </c>
      <c r="F360" s="7" t="str">
        <f t="shared" si="11"/>
        <v>30621181838003200029220</v>
      </c>
      <c r="G360" s="5">
        <v>75478622328457</v>
      </c>
      <c r="H360" s="1">
        <v>80</v>
      </c>
      <c r="I360" s="5">
        <v>30621181838</v>
      </c>
      <c r="J360" s="1" t="s">
        <v>180</v>
      </c>
      <c r="K360" s="5">
        <v>1</v>
      </c>
      <c r="L360" s="1" t="s">
        <v>168</v>
      </c>
      <c r="M360" s="2">
        <v>719705.1</v>
      </c>
      <c r="N360" s="5"/>
      <c r="O360" s="5"/>
      <c r="P360" s="5">
        <v>0</v>
      </c>
      <c r="Q360" s="2">
        <v>105</v>
      </c>
      <c r="R360" s="2">
        <v>719810.1</v>
      </c>
    </row>
    <row r="361" spans="1:18" x14ac:dyDescent="0.25">
      <c r="A361" s="1">
        <v>45981</v>
      </c>
      <c r="B361" s="1">
        <v>2</v>
      </c>
      <c r="C361" s="5">
        <v>32</v>
      </c>
      <c r="D361" s="5">
        <v>29221</v>
      </c>
      <c r="E361" s="7" t="str">
        <f t="shared" si="10"/>
        <v>003200029221</v>
      </c>
      <c r="F361" s="7" t="str">
        <f t="shared" si="11"/>
        <v>30621181838003200029221</v>
      </c>
      <c r="G361" s="5">
        <v>75478622349158</v>
      </c>
      <c r="H361" s="1">
        <v>80</v>
      </c>
      <c r="I361" s="5">
        <v>30621181838</v>
      </c>
      <c r="J361" s="1" t="s">
        <v>180</v>
      </c>
      <c r="K361" s="5">
        <v>1</v>
      </c>
      <c r="L361" s="1" t="s">
        <v>168</v>
      </c>
      <c r="M361" s="2">
        <v>719705.1</v>
      </c>
      <c r="N361" s="5"/>
      <c r="O361" s="5"/>
      <c r="P361" s="5">
        <v>0</v>
      </c>
      <c r="Q361" s="2">
        <v>105</v>
      </c>
      <c r="R361" s="2">
        <v>719810.1</v>
      </c>
    </row>
    <row r="362" spans="1:18" x14ac:dyDescent="0.25">
      <c r="A362" s="1">
        <v>45981</v>
      </c>
      <c r="B362" s="1">
        <v>3</v>
      </c>
      <c r="C362" s="5">
        <v>100</v>
      </c>
      <c r="D362" s="5">
        <v>12067</v>
      </c>
      <c r="E362" s="7" t="str">
        <f t="shared" si="10"/>
        <v>010000012067</v>
      </c>
      <c r="F362" s="7" t="str">
        <f t="shared" si="11"/>
        <v>30653075002010000012067</v>
      </c>
      <c r="G362" s="5">
        <v>75472580678085</v>
      </c>
      <c r="H362" s="1">
        <v>80</v>
      </c>
      <c r="I362" s="5">
        <v>30653075002</v>
      </c>
      <c r="J362" s="1" t="s">
        <v>182</v>
      </c>
      <c r="K362" s="5">
        <v>1</v>
      </c>
      <c r="L362" s="1" t="s">
        <v>168</v>
      </c>
      <c r="M362" s="2">
        <v>651264</v>
      </c>
      <c r="N362" s="5">
        <v>0</v>
      </c>
      <c r="O362" s="5">
        <v>0</v>
      </c>
      <c r="P362" s="5">
        <v>0</v>
      </c>
      <c r="Q362" s="2">
        <v>136765.44</v>
      </c>
      <c r="R362" s="5">
        <v>788029.43999999994</v>
      </c>
    </row>
    <row r="363" spans="1:18" x14ac:dyDescent="0.25">
      <c r="A363" s="1">
        <v>45981</v>
      </c>
      <c r="B363" s="1">
        <v>3</v>
      </c>
      <c r="C363" s="5">
        <v>10</v>
      </c>
      <c r="D363" s="5">
        <v>4085</v>
      </c>
      <c r="E363" s="7" t="str">
        <f t="shared" si="10"/>
        <v>001000004085</v>
      </c>
      <c r="F363" s="7" t="str">
        <f t="shared" si="11"/>
        <v>30502036269001000004085</v>
      </c>
      <c r="G363" s="5">
        <v>75479642373280</v>
      </c>
      <c r="H363" s="1">
        <v>80</v>
      </c>
      <c r="I363" s="5">
        <v>30502036269</v>
      </c>
      <c r="J363" s="1" t="s">
        <v>185</v>
      </c>
      <c r="K363" s="5">
        <v>1</v>
      </c>
      <c r="L363" s="1" t="s">
        <v>168</v>
      </c>
      <c r="M363" s="2">
        <v>275320.98</v>
      </c>
      <c r="N363" s="5">
        <v>0</v>
      </c>
      <c r="O363" s="5">
        <v>0</v>
      </c>
      <c r="P363" s="2">
        <v>0</v>
      </c>
      <c r="Q363" s="2">
        <v>57817.41</v>
      </c>
      <c r="R363" s="2">
        <v>333138.39</v>
      </c>
    </row>
    <row r="364" spans="1:18" x14ac:dyDescent="0.25">
      <c r="A364" s="1">
        <v>45981</v>
      </c>
      <c r="B364" s="1">
        <v>11</v>
      </c>
      <c r="C364" s="5">
        <v>1</v>
      </c>
      <c r="D364" s="5">
        <v>385</v>
      </c>
      <c r="E364" s="7" t="str">
        <f t="shared" si="10"/>
        <v>000100000385</v>
      </c>
      <c r="F364" s="7" t="str">
        <f t="shared" si="11"/>
        <v>27409286106000100000385</v>
      </c>
      <c r="G364" s="5">
        <v>75476591761771</v>
      </c>
      <c r="H364" s="1">
        <v>80</v>
      </c>
      <c r="I364" s="5">
        <v>27409286106</v>
      </c>
      <c r="J364" s="1" t="s">
        <v>306</v>
      </c>
      <c r="K364" s="5">
        <v>1</v>
      </c>
      <c r="L364" s="1" t="s">
        <v>168</v>
      </c>
      <c r="M364" s="2">
        <v>0</v>
      </c>
      <c r="N364" s="5">
        <v>0</v>
      </c>
      <c r="O364" s="5">
        <v>0</v>
      </c>
      <c r="P364" s="1">
        <v>0</v>
      </c>
      <c r="Q364" s="1">
        <v>0</v>
      </c>
      <c r="R364" s="2">
        <v>20500</v>
      </c>
    </row>
    <row r="365" spans="1:18" x14ac:dyDescent="0.25">
      <c r="A365" s="1">
        <v>45981</v>
      </c>
      <c r="B365" s="1">
        <v>15</v>
      </c>
      <c r="C365" s="5">
        <v>28</v>
      </c>
      <c r="D365" s="5">
        <v>2156525</v>
      </c>
      <c r="E365" s="7" t="str">
        <f t="shared" si="10"/>
        <v>002802156525</v>
      </c>
      <c r="F365" s="7" t="str">
        <f t="shared" si="11"/>
        <v>30708334762002802156525</v>
      </c>
      <c r="G365" s="5">
        <v>75472621552337</v>
      </c>
      <c r="H365" s="1">
        <v>80</v>
      </c>
      <c r="I365" s="5">
        <v>30708334762</v>
      </c>
      <c r="J365" s="1" t="s">
        <v>924</v>
      </c>
      <c r="K365" s="5">
        <v>1</v>
      </c>
      <c r="L365" s="1" t="s">
        <v>168</v>
      </c>
      <c r="M365" s="2">
        <v>0</v>
      </c>
      <c r="N365" s="5">
        <v>0</v>
      </c>
      <c r="O365" s="5">
        <v>0</v>
      </c>
      <c r="P365" s="2">
        <v>0</v>
      </c>
      <c r="Q365" s="2">
        <v>0</v>
      </c>
      <c r="R365" s="2">
        <v>7065</v>
      </c>
    </row>
    <row r="366" spans="1:18" x14ac:dyDescent="0.25">
      <c r="A366" s="1">
        <v>45982</v>
      </c>
      <c r="B366" s="1">
        <v>1</v>
      </c>
      <c r="C366" s="5">
        <v>27</v>
      </c>
      <c r="D366" s="5">
        <v>29888</v>
      </c>
      <c r="E366" s="7" t="str">
        <f t="shared" si="10"/>
        <v>002700029888</v>
      </c>
      <c r="F366" s="7" t="str">
        <f t="shared" si="11"/>
        <v>33708336969002700029888</v>
      </c>
      <c r="G366" s="5">
        <v>75479769810939</v>
      </c>
      <c r="H366" s="1">
        <v>80</v>
      </c>
      <c r="I366" s="5">
        <v>33708336969</v>
      </c>
      <c r="J366" s="1" t="s">
        <v>191</v>
      </c>
      <c r="K366" s="5">
        <v>1</v>
      </c>
      <c r="L366" s="1" t="s">
        <v>168</v>
      </c>
      <c r="M366" s="2">
        <v>1150410.3500000001</v>
      </c>
      <c r="N366" s="5">
        <v>0</v>
      </c>
      <c r="O366" s="5">
        <v>0</v>
      </c>
      <c r="P366" s="2">
        <v>170663.13</v>
      </c>
      <c r="Q366" s="1">
        <v>241586.17</v>
      </c>
      <c r="R366" s="2">
        <v>1562659.65</v>
      </c>
    </row>
    <row r="367" spans="1:18" x14ac:dyDescent="0.25">
      <c r="A367" s="1">
        <v>45982</v>
      </c>
      <c r="B367" s="1">
        <v>1</v>
      </c>
      <c r="C367" s="5">
        <v>8</v>
      </c>
      <c r="D367" s="5">
        <v>88192</v>
      </c>
      <c r="E367" s="7" t="str">
        <f t="shared" si="10"/>
        <v>000800088192</v>
      </c>
      <c r="F367" s="7" t="str">
        <f t="shared" si="11"/>
        <v>30536184054000800088192</v>
      </c>
      <c r="G367" s="5">
        <v>75474707446845</v>
      </c>
      <c r="H367" s="1">
        <v>80</v>
      </c>
      <c r="I367" s="5">
        <v>30536184054</v>
      </c>
      <c r="J367" s="1" t="s">
        <v>186</v>
      </c>
      <c r="K367" s="5">
        <v>1</v>
      </c>
      <c r="L367" s="1" t="s">
        <v>168</v>
      </c>
      <c r="M367" s="1">
        <v>171346.33</v>
      </c>
      <c r="N367" s="1">
        <v>0</v>
      </c>
      <c r="O367" s="1">
        <v>0</v>
      </c>
      <c r="P367" s="5">
        <v>0</v>
      </c>
      <c r="Q367" s="1">
        <v>35982.720000000001</v>
      </c>
      <c r="R367" s="2">
        <v>207329.05</v>
      </c>
    </row>
    <row r="368" spans="1:18" x14ac:dyDescent="0.25">
      <c r="A368" s="1">
        <v>45982</v>
      </c>
      <c r="B368" s="1">
        <v>1</v>
      </c>
      <c r="C368" s="5">
        <v>2</v>
      </c>
      <c r="D368" s="5">
        <v>66362</v>
      </c>
      <c r="E368" s="7" t="str">
        <f t="shared" si="10"/>
        <v>000200066362</v>
      </c>
      <c r="F368" s="7" t="str">
        <f t="shared" si="11"/>
        <v>30708506237000200066362</v>
      </c>
      <c r="G368" s="5">
        <v>75477721532267</v>
      </c>
      <c r="H368" s="1">
        <v>80</v>
      </c>
      <c r="I368" s="5">
        <v>30708506237</v>
      </c>
      <c r="J368" s="1" t="s">
        <v>132</v>
      </c>
      <c r="K368" s="5">
        <v>1</v>
      </c>
      <c r="L368" s="1" t="s">
        <v>168</v>
      </c>
      <c r="M368" s="1">
        <v>57095.74</v>
      </c>
      <c r="N368" s="1">
        <v>0</v>
      </c>
      <c r="O368" s="1">
        <v>0</v>
      </c>
      <c r="P368" s="5">
        <v>0</v>
      </c>
      <c r="Q368" s="1">
        <v>11990.11</v>
      </c>
      <c r="R368" s="5">
        <v>69085.850000000006</v>
      </c>
    </row>
    <row r="369" spans="1:18" x14ac:dyDescent="0.25">
      <c r="A369" s="1">
        <v>45982</v>
      </c>
      <c r="B369" s="1">
        <v>1</v>
      </c>
      <c r="C369" s="5">
        <v>7</v>
      </c>
      <c r="D369" s="5">
        <v>418</v>
      </c>
      <c r="E369" s="7" t="str">
        <f t="shared" si="10"/>
        <v>000700000418</v>
      </c>
      <c r="F369" s="7" t="str">
        <f t="shared" si="11"/>
        <v>30711758905000700000418</v>
      </c>
      <c r="G369" s="5">
        <v>75475744041643</v>
      </c>
      <c r="H369" s="1">
        <v>80</v>
      </c>
      <c r="I369" s="5">
        <v>30711758905</v>
      </c>
      <c r="J369" s="1" t="s">
        <v>925</v>
      </c>
      <c r="K369" s="5">
        <v>1</v>
      </c>
      <c r="L369" s="1" t="s">
        <v>168</v>
      </c>
      <c r="M369" s="2">
        <v>227768.6</v>
      </c>
      <c r="N369" s="5">
        <v>0</v>
      </c>
      <c r="O369" s="5">
        <v>0</v>
      </c>
      <c r="P369" s="5">
        <v>0</v>
      </c>
      <c r="Q369" s="2">
        <v>47831.4</v>
      </c>
      <c r="R369" s="2">
        <v>275600</v>
      </c>
    </row>
    <row r="370" spans="1:18" x14ac:dyDescent="0.25">
      <c r="A370" s="1">
        <v>45982</v>
      </c>
      <c r="B370" s="1">
        <v>1</v>
      </c>
      <c r="C370" s="5">
        <v>2</v>
      </c>
      <c r="D370" s="5">
        <v>10443</v>
      </c>
      <c r="E370" s="7" t="str">
        <f t="shared" si="10"/>
        <v>000200010443</v>
      </c>
      <c r="F370" s="7" t="str">
        <f t="shared" si="11"/>
        <v>30642674567000200010443</v>
      </c>
      <c r="G370" s="5">
        <v>75477127407085</v>
      </c>
      <c r="H370" s="1">
        <v>80</v>
      </c>
      <c r="I370" s="5">
        <v>30642674567</v>
      </c>
      <c r="J370" s="1" t="s">
        <v>184</v>
      </c>
      <c r="K370" s="5">
        <v>1</v>
      </c>
      <c r="L370" s="1" t="s">
        <v>168</v>
      </c>
      <c r="M370" s="5">
        <v>41566.559999999998</v>
      </c>
      <c r="N370" s="5">
        <v>0</v>
      </c>
      <c r="O370" s="5">
        <v>0</v>
      </c>
      <c r="P370" s="2">
        <v>0</v>
      </c>
      <c r="Q370" s="2">
        <v>8728.98</v>
      </c>
      <c r="R370" s="5">
        <v>50295.54</v>
      </c>
    </row>
    <row r="371" spans="1:18" x14ac:dyDescent="0.25">
      <c r="A371" s="1">
        <v>45982</v>
      </c>
      <c r="B371" s="1">
        <v>1</v>
      </c>
      <c r="C371" s="5">
        <v>2</v>
      </c>
      <c r="D371" s="5">
        <v>10442</v>
      </c>
      <c r="E371" s="7" t="str">
        <f t="shared" si="10"/>
        <v>000200010442</v>
      </c>
      <c r="F371" s="7" t="str">
        <f t="shared" si="11"/>
        <v>30642674567000200010442</v>
      </c>
      <c r="G371" s="5">
        <v>75477122115357</v>
      </c>
      <c r="H371" s="1">
        <v>80</v>
      </c>
      <c r="I371" s="5">
        <v>30642674567</v>
      </c>
      <c r="J371" s="1" t="s">
        <v>184</v>
      </c>
      <c r="K371" s="5">
        <v>1</v>
      </c>
      <c r="L371" s="1" t="s">
        <v>168</v>
      </c>
      <c r="M371" s="2">
        <v>39493.85</v>
      </c>
      <c r="N371" s="5">
        <v>0</v>
      </c>
      <c r="O371" s="5">
        <v>0</v>
      </c>
      <c r="P371" s="2">
        <v>0</v>
      </c>
      <c r="Q371" s="2">
        <v>8293.7099999999991</v>
      </c>
      <c r="R371" s="2">
        <v>47787.56</v>
      </c>
    </row>
    <row r="372" spans="1:18" x14ac:dyDescent="0.25">
      <c r="A372" s="1">
        <v>45982</v>
      </c>
      <c r="B372" s="1">
        <v>1</v>
      </c>
      <c r="C372" s="5">
        <v>3</v>
      </c>
      <c r="D372" s="5">
        <v>63</v>
      </c>
      <c r="E372" s="7" t="str">
        <f t="shared" si="10"/>
        <v>000300000063</v>
      </c>
      <c r="F372" s="7" t="str">
        <f t="shared" si="11"/>
        <v>30715877399000300000063</v>
      </c>
      <c r="G372" s="5">
        <v>75479705678160</v>
      </c>
      <c r="H372" s="1">
        <v>80</v>
      </c>
      <c r="I372" s="5">
        <v>30715877399</v>
      </c>
      <c r="J372" s="1" t="s">
        <v>781</v>
      </c>
      <c r="K372" s="5">
        <v>1</v>
      </c>
      <c r="L372" s="1" t="s">
        <v>168</v>
      </c>
      <c r="M372" s="2">
        <v>757625</v>
      </c>
      <c r="N372" s="5">
        <v>0</v>
      </c>
      <c r="O372" s="5">
        <v>0</v>
      </c>
      <c r="P372" s="5">
        <v>0</v>
      </c>
      <c r="Q372" s="2">
        <v>159101.25</v>
      </c>
      <c r="R372" s="2">
        <v>916726.25</v>
      </c>
    </row>
    <row r="373" spans="1:18" x14ac:dyDescent="0.25">
      <c r="A373" s="1">
        <v>45982</v>
      </c>
      <c r="B373" s="1">
        <v>1</v>
      </c>
      <c r="C373" s="5">
        <v>32</v>
      </c>
      <c r="D373" s="5">
        <v>255229</v>
      </c>
      <c r="E373" s="7" t="str">
        <f t="shared" si="10"/>
        <v>003200255229</v>
      </c>
      <c r="F373" s="7" t="str">
        <f t="shared" si="11"/>
        <v>30621181838003200255229</v>
      </c>
      <c r="G373" s="5">
        <v>75478734465349</v>
      </c>
      <c r="H373" s="1">
        <v>80</v>
      </c>
      <c r="I373" s="5">
        <v>30621181838</v>
      </c>
      <c r="J373" s="1" t="s">
        <v>180</v>
      </c>
      <c r="K373" s="5">
        <v>1</v>
      </c>
      <c r="L373" s="1" t="s">
        <v>168</v>
      </c>
      <c r="M373" s="2">
        <v>615089.05000000005</v>
      </c>
      <c r="N373" s="5"/>
      <c r="O373" s="5"/>
      <c r="P373" s="5">
        <v>0</v>
      </c>
      <c r="Q373" s="2">
        <v>129168.7</v>
      </c>
      <c r="R373" s="5">
        <v>744257.77</v>
      </c>
    </row>
    <row r="374" spans="1:18" x14ac:dyDescent="0.25">
      <c r="A374" s="1">
        <v>45982</v>
      </c>
      <c r="B374" s="1">
        <v>1</v>
      </c>
      <c r="C374" s="5">
        <v>32</v>
      </c>
      <c r="D374" s="5">
        <v>255230</v>
      </c>
      <c r="E374" s="7" t="str">
        <f t="shared" si="10"/>
        <v>003200255230</v>
      </c>
      <c r="F374" s="7" t="str">
        <f t="shared" si="11"/>
        <v>30621181838003200255230</v>
      </c>
      <c r="G374" s="5">
        <v>75478737305868</v>
      </c>
      <c r="H374" s="1">
        <v>80</v>
      </c>
      <c r="I374" s="5">
        <v>30621181838</v>
      </c>
      <c r="J374" s="1" t="s">
        <v>180</v>
      </c>
      <c r="K374" s="5">
        <v>1</v>
      </c>
      <c r="L374" s="1" t="s">
        <v>168</v>
      </c>
      <c r="M374" s="2">
        <v>386618</v>
      </c>
      <c r="N374" s="5"/>
      <c r="O374" s="5"/>
      <c r="P374" s="5">
        <v>0</v>
      </c>
      <c r="Q374" s="5">
        <v>81189.78</v>
      </c>
      <c r="R374" s="2">
        <v>467807.77</v>
      </c>
    </row>
    <row r="375" spans="1:18" x14ac:dyDescent="0.25">
      <c r="A375" s="1">
        <v>45982</v>
      </c>
      <c r="B375" s="1">
        <v>1</v>
      </c>
      <c r="C375" s="5">
        <v>267</v>
      </c>
      <c r="D375" s="5">
        <v>908790</v>
      </c>
      <c r="E375" s="7" t="str">
        <f t="shared" si="10"/>
        <v>026700908790</v>
      </c>
      <c r="F375" s="7" t="str">
        <f t="shared" si="11"/>
        <v>30500529454026700908790</v>
      </c>
      <c r="G375" s="5">
        <v>75474717003350</v>
      </c>
      <c r="H375" s="1">
        <v>80</v>
      </c>
      <c r="I375" s="5">
        <v>30500529454</v>
      </c>
      <c r="J375" s="1" t="s">
        <v>309</v>
      </c>
      <c r="K375" s="5">
        <v>1</v>
      </c>
      <c r="L375" s="1" t="s">
        <v>168</v>
      </c>
      <c r="M375" s="2">
        <v>2402713.1</v>
      </c>
      <c r="N375" s="5">
        <v>0</v>
      </c>
      <c r="O375" s="5">
        <v>0</v>
      </c>
      <c r="P375" s="2">
        <v>132149.22</v>
      </c>
      <c r="Q375" s="2">
        <v>504569.75</v>
      </c>
      <c r="R375" s="2">
        <v>3039432.08</v>
      </c>
    </row>
    <row r="376" spans="1:18" x14ac:dyDescent="0.25">
      <c r="A376" s="1">
        <v>45982</v>
      </c>
      <c r="B376" s="1">
        <v>1</v>
      </c>
      <c r="C376" s="5">
        <v>267</v>
      </c>
      <c r="D376" s="5">
        <v>908923</v>
      </c>
      <c r="E376" s="7" t="str">
        <f t="shared" si="10"/>
        <v>026700908923</v>
      </c>
      <c r="F376" s="7" t="str">
        <f t="shared" si="11"/>
        <v>30500529454026700908923</v>
      </c>
      <c r="G376" s="5">
        <v>75474728024947</v>
      </c>
      <c r="H376" s="1">
        <v>80</v>
      </c>
      <c r="I376" s="5">
        <v>30500529454</v>
      </c>
      <c r="J376" s="1" t="s">
        <v>309</v>
      </c>
      <c r="K376" s="5">
        <v>1</v>
      </c>
      <c r="L376" s="1" t="s">
        <v>168</v>
      </c>
      <c r="M376" s="2">
        <v>112810371.81</v>
      </c>
      <c r="N376" s="5">
        <v>0</v>
      </c>
      <c r="O376" s="5">
        <v>0</v>
      </c>
      <c r="P376" s="2">
        <v>6204570.5199999996</v>
      </c>
      <c r="Q376" s="2">
        <v>23690178.079999998</v>
      </c>
      <c r="R376" s="2">
        <v>142705120.69</v>
      </c>
    </row>
    <row r="377" spans="1:18" x14ac:dyDescent="0.25">
      <c r="A377" s="1">
        <v>45982</v>
      </c>
      <c r="B377" s="1">
        <v>1</v>
      </c>
      <c r="C377" s="5">
        <v>32</v>
      </c>
      <c r="D377" s="5">
        <v>255228</v>
      </c>
      <c r="E377" s="7" t="str">
        <f t="shared" si="10"/>
        <v>003200255228</v>
      </c>
      <c r="F377" s="7" t="str">
        <f t="shared" si="11"/>
        <v>30621181838003200255228</v>
      </c>
      <c r="G377" s="5">
        <v>75478733591675</v>
      </c>
      <c r="H377" s="1">
        <v>80</v>
      </c>
      <c r="I377" s="5">
        <v>30621181838</v>
      </c>
      <c r="J377" s="1" t="s">
        <v>180</v>
      </c>
      <c r="K377" s="5">
        <v>1</v>
      </c>
      <c r="L377" s="1" t="s">
        <v>168</v>
      </c>
      <c r="M377" s="2">
        <v>93648.9</v>
      </c>
      <c r="P377" s="2">
        <v>0</v>
      </c>
      <c r="Q377" s="2">
        <v>19666.27</v>
      </c>
      <c r="R377" s="2">
        <v>113315.19</v>
      </c>
    </row>
    <row r="378" spans="1:18" x14ac:dyDescent="0.25">
      <c r="A378" s="1">
        <v>45982</v>
      </c>
      <c r="B378" s="1">
        <v>3</v>
      </c>
      <c r="C378" s="5">
        <v>267</v>
      </c>
      <c r="D378" s="5">
        <v>173190</v>
      </c>
      <c r="E378" s="7" t="str">
        <f t="shared" si="10"/>
        <v>026700173190</v>
      </c>
      <c r="F378" s="7" t="str">
        <f t="shared" si="11"/>
        <v>30500529454026700173190</v>
      </c>
      <c r="G378" s="5">
        <v>75474732668402</v>
      </c>
      <c r="H378" s="1">
        <v>80</v>
      </c>
      <c r="I378" s="5">
        <v>30500529454</v>
      </c>
      <c r="J378" s="1" t="s">
        <v>309</v>
      </c>
      <c r="K378" s="5">
        <v>1</v>
      </c>
      <c r="L378" s="1" t="s">
        <v>168</v>
      </c>
      <c r="M378" s="2">
        <v>338521.14</v>
      </c>
      <c r="N378" s="1">
        <v>0</v>
      </c>
      <c r="O378" s="1">
        <v>0</v>
      </c>
      <c r="P378" s="2">
        <v>0</v>
      </c>
      <c r="Q378" s="2">
        <v>71089.440000000002</v>
      </c>
      <c r="R378" s="2">
        <v>409610.58</v>
      </c>
    </row>
    <row r="379" spans="1:18" x14ac:dyDescent="0.25">
      <c r="A379" s="1">
        <v>45982</v>
      </c>
      <c r="B379" s="1">
        <v>3</v>
      </c>
      <c r="C379" s="5">
        <v>267</v>
      </c>
      <c r="D379" s="5">
        <v>173212</v>
      </c>
      <c r="E379" s="7" t="str">
        <f t="shared" si="10"/>
        <v>026700173212</v>
      </c>
      <c r="F379" s="7" t="str">
        <f t="shared" si="11"/>
        <v>30500529454026700173212</v>
      </c>
      <c r="G379" s="5">
        <v>75474093019425</v>
      </c>
      <c r="H379" s="1">
        <v>80</v>
      </c>
      <c r="I379" s="5">
        <v>30500529454</v>
      </c>
      <c r="J379" s="1" t="s">
        <v>309</v>
      </c>
      <c r="K379" s="5">
        <v>1</v>
      </c>
      <c r="L379" s="1" t="s">
        <v>168</v>
      </c>
      <c r="M379" s="1">
        <v>91097.71</v>
      </c>
      <c r="N379" s="1">
        <v>0</v>
      </c>
      <c r="O379" s="1">
        <v>0</v>
      </c>
      <c r="P379" s="5">
        <v>0</v>
      </c>
      <c r="Q379" s="1">
        <v>19130.52</v>
      </c>
      <c r="R379" s="5">
        <v>110228.22</v>
      </c>
    </row>
    <row r="380" spans="1:18" x14ac:dyDescent="0.25">
      <c r="A380" s="1">
        <v>45982</v>
      </c>
      <c r="B380" s="1">
        <v>3</v>
      </c>
      <c r="C380" s="5">
        <v>267</v>
      </c>
      <c r="D380" s="5">
        <v>173241</v>
      </c>
      <c r="E380" s="7" t="str">
        <f t="shared" si="10"/>
        <v>026700173241</v>
      </c>
      <c r="F380" s="7" t="str">
        <f t="shared" si="11"/>
        <v>30500529454026700173241</v>
      </c>
      <c r="G380" s="5">
        <v>75474093298891</v>
      </c>
      <c r="H380" s="1">
        <v>80</v>
      </c>
      <c r="I380" s="5">
        <v>30500529454</v>
      </c>
      <c r="J380" s="1" t="s">
        <v>309</v>
      </c>
      <c r="K380" s="5">
        <v>1</v>
      </c>
      <c r="L380" s="1" t="s">
        <v>168</v>
      </c>
      <c r="M380" s="1">
        <v>24354</v>
      </c>
      <c r="N380" s="1">
        <v>0</v>
      </c>
      <c r="O380" s="1">
        <v>0</v>
      </c>
      <c r="P380" s="5">
        <v>1339.47</v>
      </c>
      <c r="Q380" s="1">
        <v>5114.34</v>
      </c>
      <c r="R380" s="5">
        <v>30807.81</v>
      </c>
    </row>
    <row r="381" spans="1:18" x14ac:dyDescent="0.25">
      <c r="A381" s="1">
        <v>45985</v>
      </c>
      <c r="B381" s="1">
        <v>1</v>
      </c>
      <c r="C381" s="5">
        <v>6364</v>
      </c>
      <c r="D381" s="5">
        <v>9342373</v>
      </c>
      <c r="E381" s="7" t="str">
        <f t="shared" si="10"/>
        <v>636409342373</v>
      </c>
      <c r="F381" s="7" t="str">
        <f t="shared" si="11"/>
        <v>30639453738636409342373</v>
      </c>
      <c r="G381" s="5">
        <v>75488405949823</v>
      </c>
      <c r="H381" s="1">
        <v>80</v>
      </c>
      <c r="I381" s="5">
        <v>30639453738</v>
      </c>
      <c r="J381" s="1" t="s">
        <v>118</v>
      </c>
      <c r="K381" s="5">
        <v>1</v>
      </c>
      <c r="L381" s="1" t="s">
        <v>168</v>
      </c>
      <c r="M381" s="1">
        <v>12135</v>
      </c>
      <c r="N381" s="1">
        <v>0</v>
      </c>
      <c r="O381" s="1">
        <v>0</v>
      </c>
      <c r="P381" s="5">
        <v>364.05</v>
      </c>
      <c r="Q381" s="1">
        <v>2548.35</v>
      </c>
      <c r="R381" s="5">
        <v>15047.4</v>
      </c>
    </row>
    <row r="382" spans="1:18" x14ac:dyDescent="0.25">
      <c r="A382" s="1">
        <v>45986</v>
      </c>
      <c r="B382" s="1">
        <v>1</v>
      </c>
      <c r="C382" s="5">
        <v>7</v>
      </c>
      <c r="D382" s="5">
        <v>567976</v>
      </c>
      <c r="E382" s="7" t="str">
        <f t="shared" si="10"/>
        <v>000700567976</v>
      </c>
      <c r="F382" s="7" t="str">
        <f t="shared" si="11"/>
        <v>30501044551000700567976</v>
      </c>
      <c r="G382" s="5">
        <v>75471141642642</v>
      </c>
      <c r="H382" s="1">
        <v>80</v>
      </c>
      <c r="I382" s="5">
        <v>30501044551</v>
      </c>
      <c r="J382" s="1" t="s">
        <v>187</v>
      </c>
      <c r="K382" s="5">
        <v>1</v>
      </c>
      <c r="L382" s="1" t="s">
        <v>168</v>
      </c>
      <c r="M382" s="1">
        <v>23427238.469999999</v>
      </c>
      <c r="N382" s="1">
        <v>0</v>
      </c>
      <c r="O382" s="1">
        <v>0</v>
      </c>
      <c r="P382" s="5">
        <v>1288498.1100000001</v>
      </c>
      <c r="Q382" s="1">
        <v>4919720.12</v>
      </c>
      <c r="R382" s="5">
        <v>29635456.699999999</v>
      </c>
    </row>
    <row r="383" spans="1:18" x14ac:dyDescent="0.25">
      <c r="A383" s="1">
        <v>45986</v>
      </c>
      <c r="B383" s="1">
        <v>1</v>
      </c>
      <c r="C383" s="5">
        <v>1</v>
      </c>
      <c r="D383" s="5">
        <v>1104</v>
      </c>
      <c r="E383" s="7" t="str">
        <f t="shared" si="10"/>
        <v>000100001104</v>
      </c>
      <c r="F383" s="7" t="str">
        <f t="shared" si="11"/>
        <v>30718634802000100001104</v>
      </c>
      <c r="G383" s="5">
        <v>75472176264399</v>
      </c>
      <c r="H383" s="1">
        <v>80</v>
      </c>
      <c r="I383" s="5">
        <v>30718634802</v>
      </c>
      <c r="J383" s="1" t="s">
        <v>325</v>
      </c>
      <c r="K383" s="5">
        <v>1</v>
      </c>
      <c r="L383" s="1" t="s">
        <v>168</v>
      </c>
      <c r="M383" s="1">
        <v>18148.77</v>
      </c>
      <c r="N383" s="1">
        <v>0</v>
      </c>
      <c r="O383" s="1">
        <v>0</v>
      </c>
      <c r="P383" s="5">
        <v>0</v>
      </c>
      <c r="Q383" s="1">
        <v>3811.24</v>
      </c>
      <c r="R383" s="5">
        <v>21960.01</v>
      </c>
    </row>
    <row r="384" spans="1:18" x14ac:dyDescent="0.25">
      <c r="A384" s="1">
        <v>45986</v>
      </c>
      <c r="B384" s="1">
        <v>1</v>
      </c>
      <c r="C384" s="5">
        <v>8</v>
      </c>
      <c r="D384" s="5">
        <v>588</v>
      </c>
      <c r="E384" s="7" t="str">
        <f t="shared" si="10"/>
        <v>000800000588</v>
      </c>
      <c r="F384" s="7" t="str">
        <f t="shared" si="11"/>
        <v>30711596956000800000588</v>
      </c>
      <c r="G384" s="5">
        <v>75476196575744</v>
      </c>
      <c r="H384" s="1">
        <v>80</v>
      </c>
      <c r="I384" s="5">
        <v>30711596956</v>
      </c>
      <c r="J384" s="1" t="s">
        <v>926</v>
      </c>
      <c r="K384" s="5">
        <v>1</v>
      </c>
      <c r="L384" s="1" t="s">
        <v>168</v>
      </c>
      <c r="M384" s="2">
        <v>2892.56</v>
      </c>
      <c r="N384" s="5">
        <v>0</v>
      </c>
      <c r="O384" s="5">
        <v>0</v>
      </c>
      <c r="P384" s="2">
        <v>0</v>
      </c>
      <c r="Q384" s="2">
        <v>607.44000000000005</v>
      </c>
      <c r="R384" s="2">
        <v>3500</v>
      </c>
    </row>
    <row r="385" spans="1:18" x14ac:dyDescent="0.25">
      <c r="A385" s="1">
        <v>45986</v>
      </c>
      <c r="B385" s="1">
        <v>1</v>
      </c>
      <c r="C385" s="5">
        <v>2</v>
      </c>
      <c r="D385" s="5">
        <v>7329</v>
      </c>
      <c r="E385" s="7" t="str">
        <f t="shared" si="10"/>
        <v>000200007329</v>
      </c>
      <c r="F385" s="7" t="str">
        <f t="shared" si="11"/>
        <v>30716673320000200007329</v>
      </c>
      <c r="G385" s="5">
        <v>75470121826329</v>
      </c>
      <c r="H385" s="1">
        <v>80</v>
      </c>
      <c r="I385" s="5">
        <v>30716673320</v>
      </c>
      <c r="J385" s="1" t="s">
        <v>804</v>
      </c>
      <c r="K385" s="5">
        <v>1</v>
      </c>
      <c r="L385" s="1" t="s">
        <v>168</v>
      </c>
      <c r="M385" s="1">
        <v>55135.85</v>
      </c>
      <c r="N385" s="5">
        <v>0</v>
      </c>
      <c r="O385" s="5">
        <v>0</v>
      </c>
      <c r="P385" s="5">
        <v>0</v>
      </c>
      <c r="Q385" s="1">
        <v>11578.53</v>
      </c>
      <c r="R385" s="5">
        <v>66714.38</v>
      </c>
    </row>
    <row r="386" spans="1:18" x14ac:dyDescent="0.25">
      <c r="A386" s="1">
        <v>45986</v>
      </c>
      <c r="B386" s="1">
        <v>1</v>
      </c>
      <c r="C386" s="5">
        <v>10</v>
      </c>
      <c r="D386" s="5">
        <v>40214</v>
      </c>
      <c r="E386" s="7" t="str">
        <f t="shared" si="10"/>
        <v>001000040214</v>
      </c>
      <c r="F386" s="7" t="str">
        <f t="shared" si="11"/>
        <v>30710979886001000040214</v>
      </c>
      <c r="G386" s="5">
        <v>75476205371003</v>
      </c>
      <c r="H386" s="1">
        <v>80</v>
      </c>
      <c r="I386" s="5">
        <v>30710979886</v>
      </c>
      <c r="J386" s="1" t="s">
        <v>927</v>
      </c>
      <c r="K386" s="5">
        <v>1</v>
      </c>
      <c r="L386" s="1" t="s">
        <v>168</v>
      </c>
      <c r="M386" s="2">
        <v>3427.76</v>
      </c>
      <c r="N386" s="5">
        <v>0</v>
      </c>
      <c r="O386" s="5">
        <v>0</v>
      </c>
      <c r="P386" s="2">
        <v>0</v>
      </c>
      <c r="Q386" s="2">
        <v>719.83</v>
      </c>
      <c r="R386" s="2">
        <v>4147.59</v>
      </c>
    </row>
    <row r="387" spans="1:18" x14ac:dyDescent="0.25">
      <c r="A387" s="1">
        <v>45986</v>
      </c>
      <c r="B387" s="1">
        <v>1</v>
      </c>
      <c r="C387" s="5">
        <v>8</v>
      </c>
      <c r="D387" s="5">
        <v>88239</v>
      </c>
      <c r="E387" s="7" t="str">
        <f t="shared" ref="E387:E450" si="12">TEXT(C387,"0000")&amp;TEXT(D387,"00000000")</f>
        <v>000800088239</v>
      </c>
      <c r="F387" s="7" t="str">
        <f t="shared" ref="F387:F450" si="13">I387&amp;E387</f>
        <v>30536184054000800088239</v>
      </c>
      <c r="G387" s="5">
        <v>75474182369623</v>
      </c>
      <c r="H387" s="1">
        <v>80</v>
      </c>
      <c r="I387" s="5">
        <v>30536184054</v>
      </c>
      <c r="J387" s="1" t="s">
        <v>186</v>
      </c>
      <c r="K387" s="5">
        <v>1</v>
      </c>
      <c r="L387" s="1" t="s">
        <v>168</v>
      </c>
      <c r="M387" s="5">
        <v>334091.2</v>
      </c>
      <c r="N387" s="5">
        <v>0</v>
      </c>
      <c r="O387" s="5">
        <v>0</v>
      </c>
      <c r="P387" s="5">
        <v>8352.2800000000007</v>
      </c>
      <c r="Q387" s="5">
        <v>70159.149999999994</v>
      </c>
      <c r="R387" s="5">
        <v>412602.63</v>
      </c>
    </row>
    <row r="388" spans="1:18" x14ac:dyDescent="0.25">
      <c r="A388" s="1">
        <v>45986</v>
      </c>
      <c r="B388" s="1">
        <v>1</v>
      </c>
      <c r="C388" s="5">
        <v>5</v>
      </c>
      <c r="D388" s="5">
        <v>1736</v>
      </c>
      <c r="E388" s="7" t="str">
        <f t="shared" si="12"/>
        <v>000500001736</v>
      </c>
      <c r="F388" s="7" t="str">
        <f t="shared" si="13"/>
        <v>27171610163000500001736</v>
      </c>
      <c r="G388" s="5">
        <v>75473119242389</v>
      </c>
      <c r="H388" s="1">
        <v>80</v>
      </c>
      <c r="I388" s="5">
        <v>27171610163</v>
      </c>
      <c r="J388" s="1" t="s">
        <v>885</v>
      </c>
      <c r="K388" s="5">
        <v>1</v>
      </c>
      <c r="L388" s="1" t="s">
        <v>168</v>
      </c>
      <c r="M388" s="2">
        <v>1818.18</v>
      </c>
      <c r="N388" s="5">
        <v>0</v>
      </c>
      <c r="O388" s="5">
        <v>0</v>
      </c>
      <c r="P388" s="5">
        <v>0</v>
      </c>
      <c r="Q388" s="2">
        <v>381.82</v>
      </c>
      <c r="R388" s="2">
        <v>2200</v>
      </c>
    </row>
    <row r="389" spans="1:18" x14ac:dyDescent="0.25">
      <c r="A389" s="1">
        <v>45986</v>
      </c>
      <c r="B389" s="1">
        <v>1</v>
      </c>
      <c r="C389" s="5">
        <v>18</v>
      </c>
      <c r="D389" s="5">
        <v>9457</v>
      </c>
      <c r="E389" s="7" t="str">
        <f t="shared" si="12"/>
        <v>001800009457</v>
      </c>
      <c r="F389" s="7" t="str">
        <f t="shared" si="13"/>
        <v>30601652044001800009457</v>
      </c>
      <c r="G389" s="5">
        <v>75474191232077</v>
      </c>
      <c r="H389" s="1">
        <v>80</v>
      </c>
      <c r="I389" s="5">
        <v>30601652044</v>
      </c>
      <c r="J389" s="1" t="s">
        <v>92</v>
      </c>
      <c r="K389" s="5">
        <v>1</v>
      </c>
      <c r="L389" s="1" t="s">
        <v>168</v>
      </c>
      <c r="M389" s="2">
        <v>15442.05</v>
      </c>
      <c r="N389" s="5">
        <v>0</v>
      </c>
      <c r="O389" s="5">
        <v>0</v>
      </c>
      <c r="P389" s="5">
        <v>0</v>
      </c>
      <c r="Q389" s="2">
        <v>3242.83</v>
      </c>
      <c r="R389" s="2">
        <v>18684.88</v>
      </c>
    </row>
    <row r="390" spans="1:18" x14ac:dyDescent="0.25">
      <c r="A390" s="1">
        <v>45986</v>
      </c>
      <c r="B390" s="1">
        <v>1</v>
      </c>
      <c r="C390" s="5">
        <v>19</v>
      </c>
      <c r="D390" s="5">
        <v>17431</v>
      </c>
      <c r="E390" s="7" t="str">
        <f t="shared" si="12"/>
        <v>001900017431</v>
      </c>
      <c r="F390" s="7" t="str">
        <f t="shared" si="13"/>
        <v>30717046907001900017431</v>
      </c>
      <c r="G390" s="5">
        <v>75477128642846</v>
      </c>
      <c r="H390" s="1">
        <v>80</v>
      </c>
      <c r="I390" s="5">
        <v>30717046907</v>
      </c>
      <c r="J390" s="1" t="s">
        <v>928</v>
      </c>
      <c r="K390" s="5">
        <v>1</v>
      </c>
      <c r="L390" s="1" t="s">
        <v>168</v>
      </c>
      <c r="M390" s="2">
        <v>53664.09</v>
      </c>
      <c r="N390" s="5">
        <v>0</v>
      </c>
      <c r="O390" s="5">
        <v>0</v>
      </c>
      <c r="P390" s="5">
        <v>12066.98</v>
      </c>
      <c r="Q390" s="1">
        <v>11269.46</v>
      </c>
      <c r="R390" s="2">
        <v>77000.53</v>
      </c>
    </row>
    <row r="391" spans="1:18" x14ac:dyDescent="0.25">
      <c r="A391" s="1">
        <v>45986</v>
      </c>
      <c r="B391" s="1">
        <v>1</v>
      </c>
      <c r="C391" s="5">
        <v>2</v>
      </c>
      <c r="D391" s="5">
        <v>7330</v>
      </c>
      <c r="E391" s="7" t="str">
        <f t="shared" si="12"/>
        <v>000200007330</v>
      </c>
      <c r="F391" s="7" t="str">
        <f t="shared" si="13"/>
        <v>30716673320000200007330</v>
      </c>
      <c r="G391" s="5">
        <v>75470131563128</v>
      </c>
      <c r="H391" s="1">
        <v>80</v>
      </c>
      <c r="I391" s="5">
        <v>30716673320</v>
      </c>
      <c r="J391" s="1" t="s">
        <v>804</v>
      </c>
      <c r="K391" s="5">
        <v>1</v>
      </c>
      <c r="L391" s="1" t="s">
        <v>168</v>
      </c>
      <c r="M391" s="2">
        <v>0.83</v>
      </c>
      <c r="N391" s="5">
        <v>0</v>
      </c>
      <c r="O391" s="5">
        <v>0</v>
      </c>
      <c r="P391" s="5">
        <v>0</v>
      </c>
      <c r="Q391" s="2">
        <v>0.17</v>
      </c>
      <c r="R391" s="2">
        <v>1</v>
      </c>
    </row>
    <row r="392" spans="1:18" x14ac:dyDescent="0.25">
      <c r="A392" s="1">
        <v>45986</v>
      </c>
      <c r="B392" s="1">
        <v>1</v>
      </c>
      <c r="C392" s="5">
        <v>115</v>
      </c>
      <c r="D392" s="5">
        <v>9469</v>
      </c>
      <c r="E392" s="7" t="str">
        <f t="shared" si="12"/>
        <v>011500009469</v>
      </c>
      <c r="F392" s="7" t="str">
        <f t="shared" si="13"/>
        <v>30698548289011500009469</v>
      </c>
      <c r="G392" s="5">
        <v>75479174644007</v>
      </c>
      <c r="H392" s="1">
        <v>80</v>
      </c>
      <c r="I392" s="5">
        <v>30698548289</v>
      </c>
      <c r="J392" s="1" t="s">
        <v>323</v>
      </c>
      <c r="K392" s="5">
        <v>1</v>
      </c>
      <c r="L392" s="1" t="s">
        <v>168</v>
      </c>
      <c r="M392" s="2">
        <v>103218.82</v>
      </c>
      <c r="N392" s="5">
        <v>0</v>
      </c>
      <c r="O392" s="5">
        <v>0</v>
      </c>
      <c r="P392" s="5">
        <v>15105.61</v>
      </c>
      <c r="Q392" s="2">
        <v>21675.95</v>
      </c>
      <c r="R392" s="2">
        <v>140000.38</v>
      </c>
    </row>
    <row r="393" spans="1:18" x14ac:dyDescent="0.25">
      <c r="A393" s="1">
        <v>45986</v>
      </c>
      <c r="B393" s="1">
        <v>1</v>
      </c>
      <c r="C393" s="5">
        <v>7</v>
      </c>
      <c r="D393" s="5">
        <v>568004</v>
      </c>
      <c r="E393" s="7" t="str">
        <f t="shared" si="12"/>
        <v>000700568004</v>
      </c>
      <c r="F393" s="7" t="str">
        <f t="shared" si="13"/>
        <v>30501044551000700568004</v>
      </c>
      <c r="G393" s="5">
        <v>75471143410806</v>
      </c>
      <c r="H393" s="1">
        <v>80</v>
      </c>
      <c r="I393" s="5">
        <v>30501044551</v>
      </c>
      <c r="J393" s="1" t="s">
        <v>187</v>
      </c>
      <c r="K393" s="5">
        <v>1</v>
      </c>
      <c r="L393" s="1" t="s">
        <v>168</v>
      </c>
      <c r="M393" s="2">
        <v>33224.910000000003</v>
      </c>
      <c r="N393" s="5">
        <v>0</v>
      </c>
      <c r="O393" s="5">
        <v>0</v>
      </c>
      <c r="P393" s="5">
        <v>1827.37</v>
      </c>
      <c r="Q393" s="2">
        <v>6977.23</v>
      </c>
      <c r="R393" s="5">
        <v>42029.51</v>
      </c>
    </row>
    <row r="394" spans="1:18" x14ac:dyDescent="0.25">
      <c r="A394" s="1">
        <v>45986</v>
      </c>
      <c r="B394" s="1">
        <v>1</v>
      </c>
      <c r="C394" s="5">
        <v>6</v>
      </c>
      <c r="D394" s="5">
        <v>145335</v>
      </c>
      <c r="E394" s="7" t="str">
        <f t="shared" si="12"/>
        <v>000600145335</v>
      </c>
      <c r="F394" s="7" t="str">
        <f t="shared" si="13"/>
        <v>20143382673000600145335</v>
      </c>
      <c r="G394" s="5">
        <v>75473129397679</v>
      </c>
      <c r="H394" s="1">
        <v>80</v>
      </c>
      <c r="I394" s="5">
        <v>20143382673</v>
      </c>
      <c r="J394" s="1" t="s">
        <v>298</v>
      </c>
      <c r="K394" s="5">
        <v>1</v>
      </c>
      <c r="L394" s="1" t="s">
        <v>168</v>
      </c>
      <c r="M394" s="2">
        <v>1005867.77</v>
      </c>
      <c r="N394" s="5">
        <v>0</v>
      </c>
      <c r="O394" s="5">
        <v>0</v>
      </c>
      <c r="P394" s="5">
        <v>55322.720000000001</v>
      </c>
      <c r="Q394" s="2">
        <v>211232.23</v>
      </c>
      <c r="R394" s="2">
        <v>1272422.72</v>
      </c>
    </row>
    <row r="395" spans="1:18" x14ac:dyDescent="0.25">
      <c r="A395" s="1">
        <v>45986</v>
      </c>
      <c r="B395" s="1">
        <v>1</v>
      </c>
      <c r="C395" s="5">
        <v>4</v>
      </c>
      <c r="D395" s="5">
        <v>2285</v>
      </c>
      <c r="E395" s="7" t="str">
        <f t="shared" si="12"/>
        <v>000400002285</v>
      </c>
      <c r="F395" s="7" t="str">
        <f t="shared" si="13"/>
        <v>30716864681000400002285</v>
      </c>
      <c r="G395" s="5">
        <v>75471187495414</v>
      </c>
      <c r="H395" s="1">
        <v>80</v>
      </c>
      <c r="I395" s="5">
        <v>30716864681</v>
      </c>
      <c r="J395" s="1" t="s">
        <v>929</v>
      </c>
      <c r="K395" s="5">
        <v>1</v>
      </c>
      <c r="L395" s="1" t="s">
        <v>168</v>
      </c>
      <c r="M395" s="2">
        <v>7438.04</v>
      </c>
      <c r="N395" s="5">
        <v>0</v>
      </c>
      <c r="O395" s="5">
        <v>0</v>
      </c>
      <c r="P395" s="2">
        <v>0</v>
      </c>
      <c r="Q395" s="2">
        <v>1561.99</v>
      </c>
      <c r="R395" s="1">
        <v>9000.0300000000007</v>
      </c>
    </row>
    <row r="396" spans="1:18" x14ac:dyDescent="0.25">
      <c r="A396" s="1">
        <v>45986</v>
      </c>
      <c r="B396" s="1">
        <v>1</v>
      </c>
      <c r="C396" s="5">
        <v>1</v>
      </c>
      <c r="D396" s="5">
        <v>1106</v>
      </c>
      <c r="E396" s="7" t="str">
        <f t="shared" si="12"/>
        <v>000100001106</v>
      </c>
      <c r="F396" s="7" t="str">
        <f t="shared" si="13"/>
        <v>30718634802000100001106</v>
      </c>
      <c r="G396" s="5">
        <v>75472239810179</v>
      </c>
      <c r="H396" s="1">
        <v>80</v>
      </c>
      <c r="I396" s="5">
        <v>30718634802</v>
      </c>
      <c r="J396" s="1" t="s">
        <v>325</v>
      </c>
      <c r="K396" s="5">
        <v>1</v>
      </c>
      <c r="L396" s="1" t="s">
        <v>168</v>
      </c>
      <c r="M396" s="2">
        <v>30793.38</v>
      </c>
      <c r="N396" s="5">
        <v>0</v>
      </c>
      <c r="O396" s="5">
        <v>0</v>
      </c>
      <c r="P396" s="2">
        <v>0</v>
      </c>
      <c r="Q396" s="2">
        <v>6466.61</v>
      </c>
      <c r="R396" s="2">
        <v>37259.99</v>
      </c>
    </row>
    <row r="397" spans="1:18" x14ac:dyDescent="0.25">
      <c r="A397" s="1">
        <v>45986</v>
      </c>
      <c r="B397" s="1">
        <v>1</v>
      </c>
      <c r="C397" s="5">
        <v>10</v>
      </c>
      <c r="D397" s="5">
        <v>16835</v>
      </c>
      <c r="E397" s="7" t="str">
        <f t="shared" si="12"/>
        <v>001000016835</v>
      </c>
      <c r="F397" s="7" t="str">
        <f t="shared" si="13"/>
        <v>30682681108001000016835</v>
      </c>
      <c r="G397" s="5">
        <v>75488310467645</v>
      </c>
      <c r="H397" s="1">
        <v>80</v>
      </c>
      <c r="I397" s="5">
        <v>30682681108</v>
      </c>
      <c r="J397" s="1" t="s">
        <v>205</v>
      </c>
      <c r="K397" s="5">
        <v>1425</v>
      </c>
      <c r="L397" s="1" t="s">
        <v>206</v>
      </c>
      <c r="M397" s="2">
        <v>9388.5499999999993</v>
      </c>
      <c r="N397" s="5">
        <v>0</v>
      </c>
      <c r="O397" s="5">
        <v>0</v>
      </c>
      <c r="P397" s="1">
        <v>0</v>
      </c>
      <c r="Q397" s="2">
        <v>1971.6</v>
      </c>
      <c r="R397" s="2">
        <v>11360.15</v>
      </c>
    </row>
    <row r="398" spans="1:18" x14ac:dyDescent="0.25">
      <c r="A398" s="1">
        <v>45986</v>
      </c>
      <c r="B398" s="1">
        <v>1</v>
      </c>
      <c r="C398" s="5">
        <v>2</v>
      </c>
      <c r="D398" s="5">
        <v>418</v>
      </c>
      <c r="E398" s="7" t="str">
        <f t="shared" si="12"/>
        <v>000200000418</v>
      </c>
      <c r="F398" s="7" t="str">
        <f t="shared" si="13"/>
        <v>20114787206000200000418</v>
      </c>
      <c r="G398" s="5">
        <v>75476179246264</v>
      </c>
      <c r="H398" s="1">
        <v>80</v>
      </c>
      <c r="I398" s="5">
        <v>20114787206</v>
      </c>
      <c r="J398" s="1" t="s">
        <v>254</v>
      </c>
      <c r="K398" s="5">
        <v>1</v>
      </c>
      <c r="L398" s="1" t="s">
        <v>168</v>
      </c>
      <c r="M398" s="2">
        <v>380000</v>
      </c>
      <c r="N398" s="5">
        <v>0</v>
      </c>
      <c r="O398" s="5">
        <v>0</v>
      </c>
      <c r="P398" s="2">
        <v>0</v>
      </c>
      <c r="Q398" s="1">
        <v>79800</v>
      </c>
      <c r="R398" s="2">
        <v>459800</v>
      </c>
    </row>
    <row r="399" spans="1:18" x14ac:dyDescent="0.25">
      <c r="A399" s="1">
        <v>45986</v>
      </c>
      <c r="B399" s="1">
        <v>1</v>
      </c>
      <c r="C399" s="5">
        <v>4</v>
      </c>
      <c r="D399" s="5">
        <v>2725</v>
      </c>
      <c r="E399" s="7" t="str">
        <f t="shared" si="12"/>
        <v>000400002725</v>
      </c>
      <c r="F399" s="7" t="str">
        <f t="shared" si="13"/>
        <v>24275905050000400002725</v>
      </c>
      <c r="G399" s="5">
        <v>75470229478045</v>
      </c>
      <c r="H399" s="1">
        <v>80</v>
      </c>
      <c r="I399" s="5">
        <v>24275905050</v>
      </c>
      <c r="J399" s="1" t="s">
        <v>886</v>
      </c>
      <c r="K399" s="5">
        <v>1</v>
      </c>
      <c r="L399" s="1" t="s">
        <v>168</v>
      </c>
      <c r="M399" s="1">
        <v>34710.76</v>
      </c>
      <c r="N399" s="1">
        <v>0</v>
      </c>
      <c r="O399" s="1">
        <v>0</v>
      </c>
      <c r="P399" s="5">
        <v>0</v>
      </c>
      <c r="Q399" s="1">
        <v>7289.26</v>
      </c>
      <c r="R399" s="5">
        <v>42000</v>
      </c>
    </row>
    <row r="400" spans="1:18" x14ac:dyDescent="0.25">
      <c r="A400" s="1">
        <v>45986</v>
      </c>
      <c r="B400" s="1">
        <v>1</v>
      </c>
      <c r="C400" s="5">
        <v>8</v>
      </c>
      <c r="D400" s="5">
        <v>56</v>
      </c>
      <c r="E400" s="7" t="str">
        <f t="shared" si="12"/>
        <v>000800000056</v>
      </c>
      <c r="F400" s="7" t="str">
        <f t="shared" si="13"/>
        <v>20314735758000800000056</v>
      </c>
      <c r="G400" s="5">
        <v>75478207074545</v>
      </c>
      <c r="H400" s="1">
        <v>80</v>
      </c>
      <c r="I400" s="5">
        <v>20314735758</v>
      </c>
      <c r="J400" s="1" t="s">
        <v>814</v>
      </c>
      <c r="K400" s="5">
        <v>1</v>
      </c>
      <c r="L400" s="1" t="s">
        <v>168</v>
      </c>
      <c r="M400" s="2">
        <v>519960</v>
      </c>
      <c r="N400" s="5">
        <v>0</v>
      </c>
      <c r="O400" s="5">
        <v>0</v>
      </c>
      <c r="P400" s="5">
        <v>0</v>
      </c>
      <c r="Q400" s="2">
        <v>109191.6</v>
      </c>
      <c r="R400" s="2">
        <v>629151.6</v>
      </c>
    </row>
    <row r="401" spans="1:18" x14ac:dyDescent="0.25">
      <c r="A401" s="1">
        <v>45986</v>
      </c>
      <c r="B401" s="1">
        <v>1</v>
      </c>
      <c r="C401" s="5">
        <v>1</v>
      </c>
      <c r="D401" s="5">
        <v>415</v>
      </c>
      <c r="E401" s="7" t="str">
        <f t="shared" si="12"/>
        <v>000100000415</v>
      </c>
      <c r="F401" s="7" t="str">
        <f t="shared" si="13"/>
        <v>30716065266000100000415</v>
      </c>
      <c r="G401" s="5">
        <v>75476120779165</v>
      </c>
      <c r="H401" s="1">
        <v>80</v>
      </c>
      <c r="I401" s="5">
        <v>30716065266</v>
      </c>
      <c r="J401" s="1" t="s">
        <v>799</v>
      </c>
      <c r="K401" s="5">
        <v>1</v>
      </c>
      <c r="L401" s="1" t="s">
        <v>168</v>
      </c>
      <c r="M401" s="2">
        <v>633332</v>
      </c>
      <c r="N401" s="5">
        <v>0</v>
      </c>
      <c r="O401" s="5">
        <v>0</v>
      </c>
      <c r="P401" s="5">
        <v>0</v>
      </c>
      <c r="Q401" s="2">
        <v>66499.86</v>
      </c>
      <c r="R401" s="2">
        <v>699831.86</v>
      </c>
    </row>
    <row r="402" spans="1:18" x14ac:dyDescent="0.25">
      <c r="A402" s="1">
        <v>45986</v>
      </c>
      <c r="B402" s="1">
        <v>1</v>
      </c>
      <c r="C402" s="5">
        <v>5</v>
      </c>
      <c r="D402" s="5">
        <v>517</v>
      </c>
      <c r="E402" s="7" t="str">
        <f t="shared" si="12"/>
        <v>000500000517</v>
      </c>
      <c r="F402" s="7" t="str">
        <f t="shared" si="13"/>
        <v>20177699889000500000517</v>
      </c>
      <c r="G402" s="5">
        <v>75479230884032</v>
      </c>
      <c r="H402" s="1">
        <v>80</v>
      </c>
      <c r="I402" s="5">
        <v>20177699889</v>
      </c>
      <c r="J402" s="1" t="s">
        <v>250</v>
      </c>
      <c r="K402" s="5">
        <v>1</v>
      </c>
      <c r="L402" s="1" t="s">
        <v>168</v>
      </c>
      <c r="M402" s="2">
        <v>36363.620000000003</v>
      </c>
      <c r="N402" s="5">
        <v>0</v>
      </c>
      <c r="O402" s="5">
        <v>0</v>
      </c>
      <c r="P402" s="5">
        <v>0</v>
      </c>
      <c r="Q402" s="2">
        <v>7636.36</v>
      </c>
      <c r="R402" s="2">
        <v>44000</v>
      </c>
    </row>
    <row r="403" spans="1:18" x14ac:dyDescent="0.25">
      <c r="A403" s="1">
        <v>45986</v>
      </c>
      <c r="B403" s="1">
        <v>1</v>
      </c>
      <c r="C403" s="5">
        <v>7</v>
      </c>
      <c r="D403" s="5">
        <v>913458</v>
      </c>
      <c r="E403" s="7" t="str">
        <f t="shared" si="12"/>
        <v>000700913458</v>
      </c>
      <c r="F403" s="7" t="str">
        <f t="shared" si="13"/>
        <v>30663045179000700913458</v>
      </c>
      <c r="G403" s="5">
        <v>75479170538764</v>
      </c>
      <c r="H403" s="1">
        <v>80</v>
      </c>
      <c r="I403" s="5">
        <v>30663045179</v>
      </c>
      <c r="J403" s="1" t="s">
        <v>209</v>
      </c>
      <c r="K403" s="5">
        <v>1</v>
      </c>
      <c r="L403" s="1" t="s">
        <v>168</v>
      </c>
      <c r="M403" s="2">
        <v>253367.93</v>
      </c>
      <c r="N403" s="5">
        <v>0</v>
      </c>
      <c r="O403" s="5">
        <v>0</v>
      </c>
      <c r="P403" s="2">
        <v>0</v>
      </c>
      <c r="Q403" s="2">
        <v>53207.27</v>
      </c>
      <c r="R403" s="2">
        <v>306575.2</v>
      </c>
    </row>
    <row r="404" spans="1:18" x14ac:dyDescent="0.25">
      <c r="A404" s="1">
        <v>45986</v>
      </c>
      <c r="B404" s="1">
        <v>1</v>
      </c>
      <c r="C404" s="5">
        <v>268</v>
      </c>
      <c r="D404" s="5">
        <v>40850</v>
      </c>
      <c r="E404" s="7" t="str">
        <f t="shared" si="12"/>
        <v>026800040850</v>
      </c>
      <c r="F404" s="7" t="str">
        <f t="shared" si="13"/>
        <v>30500529454026800040850</v>
      </c>
      <c r="G404" s="5">
        <v>75484254347899</v>
      </c>
      <c r="H404" s="1">
        <v>80</v>
      </c>
      <c r="I404" s="5">
        <v>30500529454</v>
      </c>
      <c r="J404" s="1" t="s">
        <v>309</v>
      </c>
      <c r="K404" s="5">
        <v>1</v>
      </c>
      <c r="L404" s="1" t="s">
        <v>168</v>
      </c>
      <c r="M404" s="1">
        <v>3581582</v>
      </c>
      <c r="N404" s="5">
        <v>0</v>
      </c>
      <c r="O404" s="5">
        <v>0</v>
      </c>
      <c r="P404" s="5">
        <v>196987.01</v>
      </c>
      <c r="Q404" s="2">
        <v>752132.22</v>
      </c>
      <c r="R404" s="2">
        <v>4530701.22</v>
      </c>
    </row>
    <row r="405" spans="1:18" x14ac:dyDescent="0.25">
      <c r="A405" s="1">
        <v>45986</v>
      </c>
      <c r="B405" s="1">
        <v>3</v>
      </c>
      <c r="C405" s="5">
        <v>4</v>
      </c>
      <c r="D405" s="5">
        <v>32</v>
      </c>
      <c r="E405" s="7" t="str">
        <f t="shared" si="12"/>
        <v>000400000032</v>
      </c>
      <c r="F405" s="7" t="str">
        <f t="shared" si="13"/>
        <v>20263417489000400000032</v>
      </c>
      <c r="G405" s="5">
        <v>75479143598985</v>
      </c>
      <c r="H405" s="1">
        <v>80</v>
      </c>
      <c r="I405" s="5">
        <v>20263417489</v>
      </c>
      <c r="J405" s="1" t="s">
        <v>682</v>
      </c>
      <c r="K405" s="5">
        <v>1</v>
      </c>
      <c r="L405" s="1" t="s">
        <v>168</v>
      </c>
      <c r="M405" s="2">
        <v>70392.960000000006</v>
      </c>
      <c r="N405" s="5">
        <v>0</v>
      </c>
      <c r="O405" s="5">
        <v>0</v>
      </c>
      <c r="P405" s="2">
        <v>0</v>
      </c>
      <c r="Q405" s="2">
        <v>14782.52</v>
      </c>
      <c r="R405" s="1">
        <v>85175.48</v>
      </c>
    </row>
    <row r="406" spans="1:18" x14ac:dyDescent="0.25">
      <c r="A406" s="1">
        <v>45986</v>
      </c>
      <c r="B406" s="1">
        <v>11</v>
      </c>
      <c r="C406" s="5">
        <v>2</v>
      </c>
      <c r="D406" s="5">
        <v>94</v>
      </c>
      <c r="E406" s="7" t="str">
        <f t="shared" si="12"/>
        <v>000200000094</v>
      </c>
      <c r="F406" s="7" t="str">
        <f t="shared" si="13"/>
        <v>27368774125000200000094</v>
      </c>
      <c r="G406" s="5">
        <v>75475223076997</v>
      </c>
      <c r="H406" s="1">
        <v>80</v>
      </c>
      <c r="I406" s="5">
        <v>27368774125</v>
      </c>
      <c r="J406" s="1" t="s">
        <v>820</v>
      </c>
      <c r="K406" s="5">
        <v>1</v>
      </c>
      <c r="L406" s="1" t="s">
        <v>168</v>
      </c>
      <c r="M406" s="1">
        <v>0</v>
      </c>
      <c r="N406" s="5">
        <v>0</v>
      </c>
      <c r="O406" s="5">
        <v>0</v>
      </c>
      <c r="P406" s="5">
        <v>0</v>
      </c>
      <c r="Q406" s="1">
        <v>0</v>
      </c>
      <c r="R406" s="5">
        <v>450000</v>
      </c>
    </row>
    <row r="407" spans="1:18" x14ac:dyDescent="0.25">
      <c r="A407" s="1">
        <v>45986</v>
      </c>
      <c r="B407" s="1">
        <v>11</v>
      </c>
      <c r="C407" s="5">
        <v>1</v>
      </c>
      <c r="D407" s="5">
        <v>94</v>
      </c>
      <c r="E407" s="7" t="str">
        <f t="shared" si="12"/>
        <v>000100000094</v>
      </c>
      <c r="F407" s="7" t="str">
        <f t="shared" si="13"/>
        <v>20306152530000100000094</v>
      </c>
      <c r="G407" s="5">
        <v>75470165580531</v>
      </c>
      <c r="H407" s="1">
        <v>80</v>
      </c>
      <c r="I407" s="5">
        <v>20306152530</v>
      </c>
      <c r="J407" s="1" t="s">
        <v>285</v>
      </c>
      <c r="K407" s="5">
        <v>1</v>
      </c>
      <c r="L407" s="1" t="s">
        <v>168</v>
      </c>
      <c r="M407" s="2">
        <v>0</v>
      </c>
      <c r="N407" s="5">
        <v>0</v>
      </c>
      <c r="O407" s="5">
        <v>0</v>
      </c>
      <c r="P407" s="5">
        <v>0</v>
      </c>
      <c r="Q407" s="2">
        <v>0</v>
      </c>
      <c r="R407" s="2">
        <v>2850330</v>
      </c>
    </row>
    <row r="408" spans="1:18" x14ac:dyDescent="0.25">
      <c r="A408" s="1">
        <v>45986</v>
      </c>
      <c r="B408" s="1">
        <v>11</v>
      </c>
      <c r="C408" s="5">
        <v>1</v>
      </c>
      <c r="D408" s="5">
        <v>432</v>
      </c>
      <c r="E408" s="7" t="str">
        <f t="shared" si="12"/>
        <v>000100000432</v>
      </c>
      <c r="F408" s="7" t="str">
        <f t="shared" si="13"/>
        <v>20372825074000100000432</v>
      </c>
      <c r="G408" s="5">
        <v>75474125974684</v>
      </c>
      <c r="H408" s="1">
        <v>80</v>
      </c>
      <c r="I408" s="5">
        <v>20372825074</v>
      </c>
      <c r="J408" s="1" t="s">
        <v>291</v>
      </c>
      <c r="K408" s="5">
        <v>1</v>
      </c>
      <c r="L408" s="1" t="s">
        <v>168</v>
      </c>
      <c r="M408" s="2">
        <v>0</v>
      </c>
      <c r="N408" s="5">
        <v>0</v>
      </c>
      <c r="O408" s="5">
        <v>0</v>
      </c>
      <c r="P408" s="5">
        <v>0</v>
      </c>
      <c r="Q408" s="2">
        <v>0</v>
      </c>
      <c r="R408" s="5">
        <v>40000</v>
      </c>
    </row>
    <row r="409" spans="1:18" x14ac:dyDescent="0.25">
      <c r="A409" s="1">
        <v>45986</v>
      </c>
      <c r="B409" s="1">
        <v>11</v>
      </c>
      <c r="C409" s="5">
        <v>1</v>
      </c>
      <c r="D409" s="5">
        <v>52</v>
      </c>
      <c r="E409" s="7" t="str">
        <f t="shared" si="12"/>
        <v>000100000052</v>
      </c>
      <c r="F409" s="7" t="str">
        <f t="shared" si="13"/>
        <v>33650495859000100000052</v>
      </c>
      <c r="G409" s="5">
        <v>75479149871007</v>
      </c>
      <c r="H409" s="1">
        <v>80</v>
      </c>
      <c r="I409" s="5">
        <v>33650495859</v>
      </c>
      <c r="J409" s="1" t="s">
        <v>930</v>
      </c>
      <c r="K409" s="5">
        <v>1</v>
      </c>
      <c r="L409" s="1" t="s">
        <v>168</v>
      </c>
      <c r="M409" s="2">
        <v>0</v>
      </c>
      <c r="N409" s="1">
        <v>0</v>
      </c>
      <c r="O409" s="1">
        <v>0</v>
      </c>
      <c r="P409" s="2">
        <v>0</v>
      </c>
      <c r="Q409" s="2">
        <v>0</v>
      </c>
      <c r="R409" s="2">
        <v>1500000</v>
      </c>
    </row>
    <row r="410" spans="1:18" x14ac:dyDescent="0.25">
      <c r="A410" s="1">
        <v>45986</v>
      </c>
      <c r="B410" s="1">
        <v>15</v>
      </c>
      <c r="C410" s="5">
        <v>3</v>
      </c>
      <c r="D410" s="5">
        <v>756</v>
      </c>
      <c r="E410" s="7" t="str">
        <f t="shared" si="12"/>
        <v>000300000756</v>
      </c>
      <c r="F410" s="7" t="str">
        <f t="shared" si="13"/>
        <v>30710468695000300000756</v>
      </c>
      <c r="G410" s="5">
        <v>75475142653958</v>
      </c>
      <c r="H410" s="1">
        <v>80</v>
      </c>
      <c r="I410" s="5">
        <v>30710468695</v>
      </c>
      <c r="J410" s="1" t="s">
        <v>888</v>
      </c>
      <c r="K410" s="5">
        <v>1</v>
      </c>
      <c r="L410" s="1" t="s">
        <v>168</v>
      </c>
      <c r="M410" s="2">
        <v>0</v>
      </c>
      <c r="N410" s="1">
        <v>0</v>
      </c>
      <c r="O410" s="1">
        <v>0</v>
      </c>
      <c r="P410" s="5">
        <v>0</v>
      </c>
      <c r="Q410" s="1">
        <v>0</v>
      </c>
      <c r="R410" s="2">
        <v>2327.4</v>
      </c>
    </row>
    <row r="411" spans="1:18" x14ac:dyDescent="0.25">
      <c r="A411" s="1">
        <v>45987</v>
      </c>
      <c r="B411" s="1">
        <v>1</v>
      </c>
      <c r="C411" s="5">
        <v>3</v>
      </c>
      <c r="D411" s="5">
        <v>11786</v>
      </c>
      <c r="E411" s="7" t="str">
        <f t="shared" si="12"/>
        <v>000300011786</v>
      </c>
      <c r="F411" s="7" t="str">
        <f t="shared" si="13"/>
        <v>20062708485000300011786</v>
      </c>
      <c r="G411" s="5">
        <v>75485286704494</v>
      </c>
      <c r="H411" s="1">
        <v>80</v>
      </c>
      <c r="I411" s="5">
        <v>20062708485</v>
      </c>
      <c r="J411" s="1" t="s">
        <v>825</v>
      </c>
      <c r="K411" s="5">
        <v>1</v>
      </c>
      <c r="L411" s="1" t="s">
        <v>168</v>
      </c>
      <c r="M411" s="2">
        <v>55000</v>
      </c>
      <c r="N411" s="1">
        <v>0</v>
      </c>
      <c r="O411" s="1">
        <v>0</v>
      </c>
      <c r="P411" s="2">
        <v>0</v>
      </c>
      <c r="Q411" s="2">
        <v>11550</v>
      </c>
      <c r="R411" s="1">
        <v>66550</v>
      </c>
    </row>
    <row r="412" spans="1:18" x14ac:dyDescent="0.25">
      <c r="A412" s="1">
        <v>45987</v>
      </c>
      <c r="B412" s="1">
        <v>1</v>
      </c>
      <c r="C412" s="5">
        <v>7</v>
      </c>
      <c r="D412" s="5">
        <v>43641</v>
      </c>
      <c r="E412" s="7" t="str">
        <f t="shared" si="12"/>
        <v>000700043641</v>
      </c>
      <c r="F412" s="7" t="str">
        <f t="shared" si="13"/>
        <v>30696155190000700043641</v>
      </c>
      <c r="G412" s="5">
        <v>75480312651567</v>
      </c>
      <c r="H412" s="1">
        <v>80</v>
      </c>
      <c r="I412" s="5">
        <v>30696155190</v>
      </c>
      <c r="J412" s="1" t="s">
        <v>201</v>
      </c>
      <c r="K412" s="5">
        <v>1</v>
      </c>
      <c r="L412" s="1" t="s">
        <v>168</v>
      </c>
      <c r="M412" s="2">
        <v>213361.5</v>
      </c>
      <c r="N412" s="1">
        <v>0</v>
      </c>
      <c r="O412" s="1">
        <v>0</v>
      </c>
      <c r="P412" s="5">
        <v>0</v>
      </c>
      <c r="Q412" s="2">
        <v>44805.919999999998</v>
      </c>
      <c r="R412" s="2">
        <v>258167.42</v>
      </c>
    </row>
    <row r="413" spans="1:18" x14ac:dyDescent="0.25">
      <c r="A413" s="1">
        <v>45987</v>
      </c>
      <c r="B413" s="1">
        <v>1</v>
      </c>
      <c r="C413" s="5">
        <v>7</v>
      </c>
      <c r="D413" s="5">
        <v>43642</v>
      </c>
      <c r="E413" s="7" t="str">
        <f t="shared" si="12"/>
        <v>000700043642</v>
      </c>
      <c r="F413" s="7" t="str">
        <f t="shared" si="13"/>
        <v>30696155190000700043642</v>
      </c>
      <c r="G413" s="5">
        <v>75480312652555</v>
      </c>
      <c r="H413" s="1">
        <v>80</v>
      </c>
      <c r="I413" s="5">
        <v>30696155190</v>
      </c>
      <c r="J413" s="1" t="s">
        <v>201</v>
      </c>
      <c r="K413" s="5">
        <v>1</v>
      </c>
      <c r="L413" s="1" t="s">
        <v>168</v>
      </c>
      <c r="M413" s="2">
        <v>871496.34</v>
      </c>
      <c r="N413" s="1">
        <v>0</v>
      </c>
      <c r="O413" s="1">
        <v>0</v>
      </c>
      <c r="P413" s="2">
        <v>0</v>
      </c>
      <c r="Q413" s="2">
        <v>183014.23</v>
      </c>
      <c r="R413" s="2">
        <v>1054510.57</v>
      </c>
    </row>
    <row r="414" spans="1:18" x14ac:dyDescent="0.25">
      <c r="A414" s="1">
        <v>45987</v>
      </c>
      <c r="B414" s="1">
        <v>1</v>
      </c>
      <c r="C414" s="5">
        <v>7</v>
      </c>
      <c r="D414" s="5">
        <v>43643</v>
      </c>
      <c r="E414" s="7" t="str">
        <f t="shared" si="12"/>
        <v>000700043643</v>
      </c>
      <c r="F414" s="7" t="str">
        <f t="shared" si="13"/>
        <v>30696155190000700043643</v>
      </c>
      <c r="G414" s="5">
        <v>75480312732718</v>
      </c>
      <c r="H414" s="1">
        <v>80</v>
      </c>
      <c r="I414" s="5">
        <v>30696155190</v>
      </c>
      <c r="J414" s="1" t="s">
        <v>201</v>
      </c>
      <c r="K414" s="5">
        <v>1</v>
      </c>
      <c r="L414" s="1" t="s">
        <v>168</v>
      </c>
      <c r="M414" s="1">
        <v>402906.35</v>
      </c>
      <c r="N414" s="1">
        <v>0</v>
      </c>
      <c r="O414" s="1">
        <v>0</v>
      </c>
      <c r="P414" s="2">
        <v>0</v>
      </c>
      <c r="Q414" s="2">
        <v>84610.33</v>
      </c>
      <c r="R414" s="2">
        <v>487516.68</v>
      </c>
    </row>
    <row r="415" spans="1:18" x14ac:dyDescent="0.25">
      <c r="A415" s="1">
        <v>45987</v>
      </c>
      <c r="B415" s="1">
        <v>1</v>
      </c>
      <c r="C415" s="5">
        <v>7</v>
      </c>
      <c r="D415" s="5">
        <v>43644</v>
      </c>
      <c r="E415" s="7" t="str">
        <f t="shared" si="12"/>
        <v>000700043644</v>
      </c>
      <c r="F415" s="7" t="str">
        <f t="shared" si="13"/>
        <v>30696155190000700043644</v>
      </c>
      <c r="G415" s="5">
        <v>75480312734045</v>
      </c>
      <c r="H415" s="1">
        <v>80</v>
      </c>
      <c r="I415" s="5">
        <v>30696155190</v>
      </c>
      <c r="J415" s="1" t="s">
        <v>201</v>
      </c>
      <c r="K415" s="5">
        <v>1</v>
      </c>
      <c r="L415" s="1" t="s">
        <v>168</v>
      </c>
      <c r="M415" s="2">
        <v>183832.5</v>
      </c>
      <c r="N415" s="1">
        <v>0</v>
      </c>
      <c r="O415" s="1">
        <v>0</v>
      </c>
      <c r="P415" s="5">
        <v>0</v>
      </c>
      <c r="Q415" s="2">
        <v>38604.83</v>
      </c>
      <c r="R415" s="1">
        <v>222437.33</v>
      </c>
    </row>
    <row r="416" spans="1:18" x14ac:dyDescent="0.25">
      <c r="A416" s="1">
        <v>45987</v>
      </c>
      <c r="B416" s="1">
        <v>1</v>
      </c>
      <c r="C416" s="5">
        <v>18</v>
      </c>
      <c r="D416" s="5">
        <v>143</v>
      </c>
      <c r="E416" s="7" t="str">
        <f t="shared" si="12"/>
        <v>001800000143</v>
      </c>
      <c r="F416" s="7" t="str">
        <f t="shared" si="13"/>
        <v>30530197413001800000143</v>
      </c>
      <c r="G416" s="5">
        <v>75483327369888</v>
      </c>
      <c r="H416" s="1">
        <v>80</v>
      </c>
      <c r="I416" s="5">
        <v>30530197413</v>
      </c>
      <c r="J416" s="1" t="s">
        <v>175</v>
      </c>
      <c r="K416" s="5">
        <v>1</v>
      </c>
      <c r="L416" s="1" t="s">
        <v>168</v>
      </c>
      <c r="M416" s="2">
        <v>8760.33</v>
      </c>
      <c r="N416" s="1">
        <v>0</v>
      </c>
      <c r="O416" s="1">
        <v>0</v>
      </c>
      <c r="P416" s="2">
        <v>0</v>
      </c>
      <c r="Q416" s="2">
        <v>1839.67</v>
      </c>
      <c r="R416" s="2">
        <v>10600</v>
      </c>
    </row>
    <row r="417" spans="1:18" x14ac:dyDescent="0.25">
      <c r="A417" s="1">
        <v>45987</v>
      </c>
      <c r="B417" s="1">
        <v>1</v>
      </c>
      <c r="C417" s="5">
        <v>8</v>
      </c>
      <c r="D417" s="5">
        <v>88284</v>
      </c>
      <c r="E417" s="7" t="str">
        <f t="shared" si="12"/>
        <v>000800088284</v>
      </c>
      <c r="F417" s="7" t="str">
        <f t="shared" si="13"/>
        <v>30536184054000800088284</v>
      </c>
      <c r="G417" s="5">
        <v>75484327406125</v>
      </c>
      <c r="H417" s="1">
        <v>80</v>
      </c>
      <c r="I417" s="5">
        <v>30536184054</v>
      </c>
      <c r="J417" s="1" t="s">
        <v>186</v>
      </c>
      <c r="K417" s="5">
        <v>1</v>
      </c>
      <c r="L417" s="1" t="s">
        <v>168</v>
      </c>
      <c r="M417" s="2">
        <v>8264.4599999999991</v>
      </c>
      <c r="N417" s="1">
        <v>0</v>
      </c>
      <c r="O417" s="1">
        <v>0</v>
      </c>
      <c r="P417" s="5">
        <v>0</v>
      </c>
      <c r="Q417" s="2">
        <v>1735.54</v>
      </c>
      <c r="R417" s="1">
        <v>10000</v>
      </c>
    </row>
    <row r="418" spans="1:18" x14ac:dyDescent="0.25">
      <c r="A418" s="1">
        <v>45987</v>
      </c>
      <c r="B418" s="1">
        <v>1</v>
      </c>
      <c r="C418" s="5">
        <v>23</v>
      </c>
      <c r="D418" s="5">
        <v>22978</v>
      </c>
      <c r="E418" s="7" t="str">
        <f t="shared" si="12"/>
        <v>002300022978</v>
      </c>
      <c r="F418" s="7" t="str">
        <f t="shared" si="13"/>
        <v>30715706934002300022978</v>
      </c>
      <c r="G418" s="5">
        <v>75484255709437</v>
      </c>
      <c r="H418" s="1">
        <v>80</v>
      </c>
      <c r="I418" s="5">
        <v>30715706934</v>
      </c>
      <c r="J418" s="1" t="s">
        <v>61</v>
      </c>
      <c r="K418" s="5">
        <v>1</v>
      </c>
      <c r="L418" s="1" t="s">
        <v>168</v>
      </c>
      <c r="M418" s="2">
        <v>59205.17</v>
      </c>
      <c r="N418" s="5">
        <v>0</v>
      </c>
      <c r="O418" s="5">
        <v>0</v>
      </c>
      <c r="P418" s="5">
        <v>8361.83</v>
      </c>
      <c r="Q418" s="2">
        <v>12433.09</v>
      </c>
      <c r="R418" s="2">
        <v>80000.08</v>
      </c>
    </row>
    <row r="419" spans="1:18" x14ac:dyDescent="0.25">
      <c r="A419" s="1">
        <v>45987</v>
      </c>
      <c r="B419" s="1">
        <v>1</v>
      </c>
      <c r="C419" s="5">
        <v>4</v>
      </c>
      <c r="D419" s="5">
        <v>28975</v>
      </c>
      <c r="E419" s="7" t="str">
        <f t="shared" si="12"/>
        <v>000400028975</v>
      </c>
      <c r="F419" s="7" t="str">
        <f t="shared" si="13"/>
        <v>30500563059000400028975</v>
      </c>
      <c r="G419" s="5">
        <v>75489261539006</v>
      </c>
      <c r="H419" s="1">
        <v>80</v>
      </c>
      <c r="I419" s="5">
        <v>30500563059</v>
      </c>
      <c r="J419" s="1" t="s">
        <v>221</v>
      </c>
      <c r="K419" s="5">
        <v>1</v>
      </c>
      <c r="L419" s="1" t="s">
        <v>168</v>
      </c>
      <c r="M419" s="2">
        <v>25521439.09</v>
      </c>
      <c r="N419" s="5">
        <v>0</v>
      </c>
      <c r="O419" s="5">
        <v>0</v>
      </c>
      <c r="P419" s="5">
        <v>0</v>
      </c>
      <c r="Q419" s="2">
        <v>5359502.17</v>
      </c>
      <c r="R419" s="2">
        <v>30880941.260000002</v>
      </c>
    </row>
    <row r="420" spans="1:18" x14ac:dyDescent="0.25">
      <c r="A420" s="1">
        <v>45987</v>
      </c>
      <c r="B420" s="1">
        <v>1</v>
      </c>
      <c r="C420" s="5">
        <v>2</v>
      </c>
      <c r="D420" s="5">
        <v>60391</v>
      </c>
      <c r="E420" s="7" t="str">
        <f t="shared" si="12"/>
        <v>000200060391</v>
      </c>
      <c r="F420" s="7" t="str">
        <f t="shared" si="13"/>
        <v>20238502722000200060391</v>
      </c>
      <c r="G420" s="5">
        <v>75482319194387</v>
      </c>
      <c r="H420" s="1">
        <v>80</v>
      </c>
      <c r="I420" s="5">
        <v>20238502722</v>
      </c>
      <c r="J420" s="1" t="s">
        <v>144</v>
      </c>
      <c r="K420" s="5">
        <v>1</v>
      </c>
      <c r="L420" s="1" t="s">
        <v>168</v>
      </c>
      <c r="M420" s="2">
        <v>2004737.23</v>
      </c>
      <c r="N420" s="5">
        <v>0</v>
      </c>
      <c r="O420" s="5">
        <v>0</v>
      </c>
      <c r="P420" s="5">
        <v>0</v>
      </c>
      <c r="Q420" s="2">
        <v>420994.82</v>
      </c>
      <c r="R420" s="2">
        <v>2425732.0499999998</v>
      </c>
    </row>
    <row r="421" spans="1:18" x14ac:dyDescent="0.25">
      <c r="A421" s="1">
        <v>45987</v>
      </c>
      <c r="B421" s="1">
        <v>1</v>
      </c>
      <c r="C421" s="5">
        <v>14</v>
      </c>
      <c r="D421" s="5">
        <v>6484</v>
      </c>
      <c r="E421" s="7" t="str">
        <f t="shared" si="12"/>
        <v>001400006484</v>
      </c>
      <c r="F421" s="7" t="str">
        <f t="shared" si="13"/>
        <v>30704759645001400006484</v>
      </c>
      <c r="G421" s="5">
        <v>75485316466594</v>
      </c>
      <c r="H421" s="1">
        <v>80</v>
      </c>
      <c r="I421" s="5">
        <v>30704759645</v>
      </c>
      <c r="J421" s="1" t="s">
        <v>197</v>
      </c>
      <c r="K421" s="5">
        <v>1</v>
      </c>
      <c r="L421" s="1" t="s">
        <v>168</v>
      </c>
      <c r="M421" s="2">
        <v>938785.51</v>
      </c>
      <c r="N421" s="5">
        <v>0</v>
      </c>
      <c r="O421" s="5">
        <v>0</v>
      </c>
      <c r="P421" s="5">
        <v>0</v>
      </c>
      <c r="Q421" s="2">
        <v>197144.95999999999</v>
      </c>
      <c r="R421" s="2">
        <v>1135930.47</v>
      </c>
    </row>
    <row r="422" spans="1:18" x14ac:dyDescent="0.25">
      <c r="A422" s="1">
        <v>45987</v>
      </c>
      <c r="B422" s="1">
        <v>1</v>
      </c>
      <c r="C422" s="5">
        <v>14</v>
      </c>
      <c r="D422" s="5">
        <v>6485</v>
      </c>
      <c r="E422" s="7" t="str">
        <f t="shared" si="12"/>
        <v>001400006485</v>
      </c>
      <c r="F422" s="7" t="str">
        <f t="shared" si="13"/>
        <v>30704759645001400006485</v>
      </c>
      <c r="G422" s="5">
        <v>75485316482067</v>
      </c>
      <c r="H422" s="1">
        <v>80</v>
      </c>
      <c r="I422" s="5">
        <v>30704759645</v>
      </c>
      <c r="J422" s="1" t="s">
        <v>197</v>
      </c>
      <c r="K422" s="5">
        <v>1</v>
      </c>
      <c r="L422" s="1" t="s">
        <v>168</v>
      </c>
      <c r="M422" s="1">
        <v>16559137.5</v>
      </c>
      <c r="N422" s="5">
        <v>0</v>
      </c>
      <c r="O422" s="5">
        <v>0</v>
      </c>
      <c r="P422" s="5">
        <v>0</v>
      </c>
      <c r="Q422" s="2">
        <v>3477418.88</v>
      </c>
      <c r="R422" s="2">
        <v>20036556.379999999</v>
      </c>
    </row>
    <row r="423" spans="1:18" x14ac:dyDescent="0.25">
      <c r="A423" s="1">
        <v>45987</v>
      </c>
      <c r="B423" s="1">
        <v>1</v>
      </c>
      <c r="C423" s="5">
        <v>7</v>
      </c>
      <c r="D423" s="5">
        <v>568211</v>
      </c>
      <c r="E423" s="7" t="str">
        <f t="shared" si="12"/>
        <v>000700568211</v>
      </c>
      <c r="F423" s="7" t="str">
        <f t="shared" si="13"/>
        <v>30501044551000700568211</v>
      </c>
      <c r="G423" s="5">
        <v>75481270607620</v>
      </c>
      <c r="H423" s="1">
        <v>80</v>
      </c>
      <c r="I423" s="5">
        <v>30501044551</v>
      </c>
      <c r="J423" s="1" t="s">
        <v>187</v>
      </c>
      <c r="K423" s="5">
        <v>1</v>
      </c>
      <c r="L423" s="1" t="s">
        <v>168</v>
      </c>
      <c r="M423" s="1">
        <v>41.53</v>
      </c>
      <c r="N423" s="5">
        <v>0</v>
      </c>
      <c r="O423" s="5">
        <v>0</v>
      </c>
      <c r="P423" s="5">
        <v>0</v>
      </c>
      <c r="Q423" s="2">
        <v>8.7200000000000006</v>
      </c>
      <c r="R423" s="2">
        <v>50.25</v>
      </c>
    </row>
    <row r="424" spans="1:18" x14ac:dyDescent="0.25">
      <c r="A424" s="1">
        <v>45987</v>
      </c>
      <c r="B424" s="1">
        <v>1</v>
      </c>
      <c r="C424" s="5">
        <v>7</v>
      </c>
      <c r="D424" s="5">
        <v>568218</v>
      </c>
      <c r="E424" s="7" t="str">
        <f t="shared" si="12"/>
        <v>000700568218</v>
      </c>
      <c r="F424" s="7" t="str">
        <f t="shared" si="13"/>
        <v>30501044551000700568218</v>
      </c>
      <c r="G424" s="5">
        <v>75481270809260</v>
      </c>
      <c r="H424" s="1">
        <v>80</v>
      </c>
      <c r="I424" s="5">
        <v>30501044551</v>
      </c>
      <c r="J424" s="1" t="s">
        <v>187</v>
      </c>
      <c r="K424" s="5">
        <v>1</v>
      </c>
      <c r="L424" s="1" t="s">
        <v>168</v>
      </c>
      <c r="M424" s="2">
        <v>66491.350000000006</v>
      </c>
      <c r="N424" s="5">
        <v>0</v>
      </c>
      <c r="O424" s="5">
        <v>0</v>
      </c>
      <c r="P424" s="5">
        <v>3657.03</v>
      </c>
      <c r="Q424" s="2">
        <v>13963.18</v>
      </c>
      <c r="R424" s="2">
        <v>84111.56</v>
      </c>
    </row>
    <row r="425" spans="1:18" x14ac:dyDescent="0.25">
      <c r="A425" s="1">
        <v>45987</v>
      </c>
      <c r="B425" s="1">
        <v>1</v>
      </c>
      <c r="C425" s="5">
        <v>2</v>
      </c>
      <c r="D425" s="5">
        <v>12642</v>
      </c>
      <c r="E425" s="7" t="str">
        <f t="shared" si="12"/>
        <v>000200012642</v>
      </c>
      <c r="F425" s="7" t="str">
        <f t="shared" si="13"/>
        <v>30717349616000200012642</v>
      </c>
      <c r="G425" s="5">
        <v>75486300531890</v>
      </c>
      <c r="H425" s="1">
        <v>80</v>
      </c>
      <c r="I425" s="5">
        <v>30717349616</v>
      </c>
      <c r="J425" s="1" t="s">
        <v>287</v>
      </c>
      <c r="K425" s="5">
        <v>1</v>
      </c>
      <c r="L425" s="1" t="s">
        <v>168</v>
      </c>
      <c r="M425" s="5">
        <v>751131.22</v>
      </c>
      <c r="N425" s="5">
        <v>0</v>
      </c>
      <c r="O425" s="5">
        <v>0</v>
      </c>
      <c r="P425" s="5">
        <v>0</v>
      </c>
      <c r="Q425" s="2">
        <v>78868.78</v>
      </c>
      <c r="R425" s="2">
        <v>830000</v>
      </c>
    </row>
    <row r="426" spans="1:18" x14ac:dyDescent="0.25">
      <c r="A426" s="1">
        <v>45987</v>
      </c>
      <c r="B426" s="1">
        <v>1</v>
      </c>
      <c r="C426" s="5">
        <v>10</v>
      </c>
      <c r="D426" s="5">
        <v>16859</v>
      </c>
      <c r="E426" s="7" t="str">
        <f t="shared" si="12"/>
        <v>001000016859</v>
      </c>
      <c r="F426" s="7" t="str">
        <f t="shared" si="13"/>
        <v>30682681108001000016859</v>
      </c>
      <c r="G426" s="5">
        <v>75488459931460</v>
      </c>
      <c r="H426" s="1">
        <v>80</v>
      </c>
      <c r="I426" s="5">
        <v>30682681108</v>
      </c>
      <c r="J426" s="1" t="s">
        <v>205</v>
      </c>
      <c r="K426" s="5">
        <v>1447.5</v>
      </c>
      <c r="L426" s="1" t="s">
        <v>206</v>
      </c>
      <c r="M426" s="2">
        <v>2596.44</v>
      </c>
      <c r="N426" s="1">
        <v>0</v>
      </c>
      <c r="O426" s="1">
        <v>0</v>
      </c>
      <c r="P426" s="5">
        <v>0</v>
      </c>
      <c r="Q426" s="2">
        <v>545.25</v>
      </c>
      <c r="R426" s="1">
        <v>3141.69</v>
      </c>
    </row>
    <row r="427" spans="1:18" x14ac:dyDescent="0.25">
      <c r="A427" s="1">
        <v>45987</v>
      </c>
      <c r="B427" s="1">
        <v>1</v>
      </c>
      <c r="C427" s="5">
        <v>2</v>
      </c>
      <c r="D427" s="5">
        <v>385</v>
      </c>
      <c r="E427" s="7" t="str">
        <f t="shared" si="12"/>
        <v>000200000385</v>
      </c>
      <c r="F427" s="7" t="str">
        <f t="shared" si="13"/>
        <v>20313376045000200000385</v>
      </c>
      <c r="G427" s="5">
        <v>75485337109887</v>
      </c>
      <c r="H427" s="1">
        <v>80</v>
      </c>
      <c r="I427" s="5">
        <v>20313376045</v>
      </c>
      <c r="J427" s="1" t="s">
        <v>277</v>
      </c>
      <c r="K427" s="5">
        <v>1</v>
      </c>
      <c r="L427" s="1" t="s">
        <v>168</v>
      </c>
      <c r="M427" s="1">
        <v>290000</v>
      </c>
      <c r="N427" s="1">
        <v>0</v>
      </c>
      <c r="O427" s="1">
        <v>0</v>
      </c>
      <c r="P427" s="5">
        <v>0</v>
      </c>
      <c r="Q427" s="1">
        <v>60900</v>
      </c>
      <c r="R427" s="5">
        <v>350900</v>
      </c>
    </row>
    <row r="428" spans="1:18" x14ac:dyDescent="0.25">
      <c r="A428" s="1">
        <v>45987</v>
      </c>
      <c r="B428" s="1">
        <v>1</v>
      </c>
      <c r="C428" s="5">
        <v>21</v>
      </c>
      <c r="D428" s="5">
        <v>302529</v>
      </c>
      <c r="E428" s="7" t="str">
        <f t="shared" si="12"/>
        <v>002100302529</v>
      </c>
      <c r="F428" s="7" t="str">
        <f t="shared" si="13"/>
        <v>33522734549002100302529</v>
      </c>
      <c r="G428" s="5">
        <v>35459553583712</v>
      </c>
      <c r="H428" s="1">
        <v>80</v>
      </c>
      <c r="I428" s="5">
        <v>33522734549</v>
      </c>
      <c r="J428" s="1" t="s">
        <v>193</v>
      </c>
      <c r="K428" s="5">
        <v>1</v>
      </c>
      <c r="L428" s="1" t="s">
        <v>168</v>
      </c>
      <c r="M428" s="1">
        <v>38314402.380000003</v>
      </c>
      <c r="N428" s="1">
        <v>0</v>
      </c>
      <c r="O428" s="1">
        <v>0</v>
      </c>
      <c r="P428" s="5">
        <v>2107292.13</v>
      </c>
      <c r="Q428" s="1">
        <v>8046024.5</v>
      </c>
      <c r="R428" s="2">
        <v>48467719</v>
      </c>
    </row>
    <row r="429" spans="1:18" x14ac:dyDescent="0.25">
      <c r="A429" s="1">
        <v>45987</v>
      </c>
      <c r="B429" s="1">
        <v>3</v>
      </c>
      <c r="C429" s="5">
        <v>8</v>
      </c>
      <c r="D429" s="5">
        <v>25118</v>
      </c>
      <c r="E429" s="7" t="str">
        <f t="shared" si="12"/>
        <v>000800025118</v>
      </c>
      <c r="F429" s="7" t="str">
        <f t="shared" si="13"/>
        <v>30536184054000800025118</v>
      </c>
      <c r="G429" s="5">
        <v>75484250560814</v>
      </c>
      <c r="H429" s="1">
        <v>80</v>
      </c>
      <c r="I429" s="5">
        <v>30536184054</v>
      </c>
      <c r="J429" s="1" t="s">
        <v>186</v>
      </c>
      <c r="K429" s="5">
        <v>1</v>
      </c>
      <c r="L429" s="1" t="s">
        <v>168</v>
      </c>
      <c r="M429" s="1">
        <v>45420.49</v>
      </c>
      <c r="N429" s="1">
        <v>0</v>
      </c>
      <c r="O429" s="1">
        <v>0</v>
      </c>
      <c r="P429" s="5">
        <v>0</v>
      </c>
      <c r="Q429" s="1">
        <v>9538.2999999999993</v>
      </c>
      <c r="R429" s="2">
        <v>54958.79</v>
      </c>
    </row>
    <row r="430" spans="1:18" x14ac:dyDescent="0.25">
      <c r="A430" s="1">
        <v>45987</v>
      </c>
      <c r="B430" s="1">
        <v>11</v>
      </c>
      <c r="C430" s="5">
        <v>3</v>
      </c>
      <c r="D430" s="5">
        <v>2371</v>
      </c>
      <c r="E430" s="7" t="str">
        <f t="shared" si="12"/>
        <v>000300002371</v>
      </c>
      <c r="F430" s="7" t="str">
        <f t="shared" si="13"/>
        <v>27275934076000300002371</v>
      </c>
      <c r="G430" s="5">
        <v>75486307209604</v>
      </c>
      <c r="H430" s="1">
        <v>80</v>
      </c>
      <c r="I430" s="5">
        <v>27275934076</v>
      </c>
      <c r="J430" s="1" t="s">
        <v>931</v>
      </c>
      <c r="K430" s="5">
        <v>1</v>
      </c>
      <c r="L430" s="1" t="s">
        <v>168</v>
      </c>
      <c r="M430" s="1">
        <v>0</v>
      </c>
      <c r="N430" s="1">
        <v>0</v>
      </c>
      <c r="O430" s="1">
        <v>0</v>
      </c>
      <c r="P430" s="5">
        <v>0</v>
      </c>
      <c r="Q430" s="1">
        <v>0</v>
      </c>
      <c r="R430" s="2">
        <v>16900</v>
      </c>
    </row>
    <row r="431" spans="1:18" x14ac:dyDescent="0.25">
      <c r="A431" s="1">
        <v>45987</v>
      </c>
      <c r="B431" s="1">
        <v>11</v>
      </c>
      <c r="C431" s="5">
        <v>2</v>
      </c>
      <c r="D431" s="5">
        <v>57</v>
      </c>
      <c r="E431" s="7" t="str">
        <f t="shared" si="12"/>
        <v>000200000057</v>
      </c>
      <c r="F431" s="7" t="str">
        <f t="shared" si="13"/>
        <v>27366557860000200000057</v>
      </c>
      <c r="G431" s="5">
        <v>75480255971319</v>
      </c>
      <c r="H431" s="1">
        <v>80</v>
      </c>
      <c r="I431" s="5">
        <v>27366557860</v>
      </c>
      <c r="J431" s="1" t="s">
        <v>477</v>
      </c>
      <c r="K431" s="5">
        <v>1</v>
      </c>
      <c r="L431" s="1" t="s">
        <v>168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200000</v>
      </c>
    </row>
    <row r="432" spans="1:18" x14ac:dyDescent="0.25">
      <c r="A432" s="1">
        <v>45987</v>
      </c>
      <c r="B432" s="1">
        <v>11</v>
      </c>
      <c r="C432" s="5">
        <v>2</v>
      </c>
      <c r="D432" s="5">
        <v>81</v>
      </c>
      <c r="E432" s="7" t="str">
        <f t="shared" si="12"/>
        <v>000200000081</v>
      </c>
      <c r="F432" s="7" t="str">
        <f t="shared" si="13"/>
        <v>27204397649000200000081</v>
      </c>
      <c r="G432" s="5">
        <v>75489335710566</v>
      </c>
      <c r="H432" s="1">
        <v>80</v>
      </c>
      <c r="I432" s="5">
        <v>27204397649</v>
      </c>
      <c r="J432" s="1" t="s">
        <v>839</v>
      </c>
      <c r="K432" s="5">
        <v>1</v>
      </c>
      <c r="L432" s="1" t="s">
        <v>168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330000</v>
      </c>
    </row>
    <row r="433" spans="1:18" x14ac:dyDescent="0.25">
      <c r="A433" s="1">
        <v>45988</v>
      </c>
      <c r="B433" s="1">
        <v>1</v>
      </c>
      <c r="C433" s="5">
        <v>14</v>
      </c>
      <c r="D433" s="5">
        <v>23037</v>
      </c>
      <c r="E433" s="7" t="str">
        <f t="shared" si="12"/>
        <v>001400023037</v>
      </c>
      <c r="F433" s="7" t="str">
        <f t="shared" si="13"/>
        <v>30523412236001400023037</v>
      </c>
      <c r="G433" s="5">
        <v>75486319746723</v>
      </c>
      <c r="H433" s="1">
        <v>80</v>
      </c>
      <c r="I433" s="5">
        <v>30523412236</v>
      </c>
      <c r="J433" s="1" t="s">
        <v>213</v>
      </c>
      <c r="K433" s="5">
        <v>1</v>
      </c>
      <c r="L433" s="1" t="s">
        <v>168</v>
      </c>
      <c r="M433" s="5">
        <v>3205680.98</v>
      </c>
      <c r="N433" s="5">
        <v>0</v>
      </c>
      <c r="O433" s="5">
        <v>0</v>
      </c>
      <c r="P433" s="5">
        <v>0</v>
      </c>
      <c r="Q433" s="5">
        <v>673193.01</v>
      </c>
      <c r="R433" s="5">
        <v>3878873.99</v>
      </c>
    </row>
    <row r="434" spans="1:18" x14ac:dyDescent="0.25">
      <c r="A434" s="1">
        <v>45988</v>
      </c>
      <c r="B434" s="1">
        <v>1</v>
      </c>
      <c r="C434" s="5">
        <v>14</v>
      </c>
      <c r="D434" s="5">
        <v>23038</v>
      </c>
      <c r="E434" s="7" t="str">
        <f t="shared" si="12"/>
        <v>001400023038</v>
      </c>
      <c r="F434" s="7" t="str">
        <f t="shared" si="13"/>
        <v>30523412236001400023038</v>
      </c>
      <c r="G434" s="5">
        <v>75486319890020</v>
      </c>
      <c r="H434" s="1">
        <v>80</v>
      </c>
      <c r="I434" s="5">
        <v>30523412236</v>
      </c>
      <c r="J434" s="1" t="s">
        <v>213</v>
      </c>
      <c r="K434" s="5">
        <v>1</v>
      </c>
      <c r="L434" s="1" t="s">
        <v>168</v>
      </c>
      <c r="M434" s="5">
        <v>2020986</v>
      </c>
      <c r="N434" s="5">
        <v>0</v>
      </c>
      <c r="O434" s="5">
        <v>0</v>
      </c>
      <c r="P434" s="5">
        <v>0</v>
      </c>
      <c r="Q434" s="5">
        <v>424407.06</v>
      </c>
      <c r="R434" s="5">
        <v>2445393.06</v>
      </c>
    </row>
    <row r="435" spans="1:18" x14ac:dyDescent="0.25">
      <c r="A435" s="1">
        <v>45988</v>
      </c>
      <c r="B435" s="1">
        <v>1</v>
      </c>
      <c r="C435" s="5">
        <v>2</v>
      </c>
      <c r="D435" s="5">
        <v>66411</v>
      </c>
      <c r="E435" s="7" t="str">
        <f t="shared" si="12"/>
        <v>000200066411</v>
      </c>
      <c r="F435" s="7" t="str">
        <f t="shared" si="13"/>
        <v>30708506237000200066411</v>
      </c>
      <c r="G435" s="5">
        <v>75487397835471</v>
      </c>
      <c r="H435" s="1">
        <v>80</v>
      </c>
      <c r="I435" s="5">
        <v>30708506237</v>
      </c>
      <c r="J435" s="1" t="s">
        <v>132</v>
      </c>
      <c r="K435" s="5">
        <v>1</v>
      </c>
      <c r="L435" s="1" t="s">
        <v>168</v>
      </c>
      <c r="M435" s="2">
        <v>402489.62</v>
      </c>
      <c r="N435" s="5">
        <v>0</v>
      </c>
      <c r="O435" s="5">
        <v>0</v>
      </c>
      <c r="P435" s="2">
        <v>0</v>
      </c>
      <c r="Q435" s="2">
        <v>84522.82</v>
      </c>
      <c r="R435" s="2">
        <v>487012.44</v>
      </c>
    </row>
    <row r="436" spans="1:18" x14ac:dyDescent="0.25">
      <c r="A436" s="1">
        <v>45988</v>
      </c>
      <c r="B436" s="1">
        <v>1</v>
      </c>
      <c r="C436" s="5">
        <v>5</v>
      </c>
      <c r="D436" s="5">
        <v>15355</v>
      </c>
      <c r="E436" s="7" t="str">
        <f t="shared" si="12"/>
        <v>000500015355</v>
      </c>
      <c r="F436" s="7" t="str">
        <f t="shared" si="13"/>
        <v>23066238849000500015355</v>
      </c>
      <c r="G436" s="5">
        <v>75489409229134</v>
      </c>
      <c r="H436" s="1">
        <v>80</v>
      </c>
      <c r="I436" s="5">
        <v>23066238849</v>
      </c>
      <c r="J436" s="1" t="s">
        <v>138</v>
      </c>
      <c r="K436" s="5">
        <v>1</v>
      </c>
      <c r="L436" s="1" t="s">
        <v>168</v>
      </c>
      <c r="M436" s="2">
        <v>66115.7</v>
      </c>
      <c r="N436" s="5">
        <v>0</v>
      </c>
      <c r="O436" s="5">
        <v>0</v>
      </c>
      <c r="P436" s="5">
        <v>0</v>
      </c>
      <c r="Q436" s="2">
        <v>13884.3</v>
      </c>
      <c r="R436" s="5">
        <v>80000</v>
      </c>
    </row>
    <row r="437" spans="1:18" x14ac:dyDescent="0.25">
      <c r="A437" s="1">
        <v>45988</v>
      </c>
      <c r="B437" s="1">
        <v>1</v>
      </c>
      <c r="C437" s="5">
        <v>10</v>
      </c>
      <c r="D437" s="5">
        <v>65671</v>
      </c>
      <c r="E437" s="7" t="str">
        <f t="shared" si="12"/>
        <v>001000065671</v>
      </c>
      <c r="F437" s="7" t="str">
        <f t="shared" si="13"/>
        <v>30545709976001000065671</v>
      </c>
      <c r="G437" s="5">
        <v>75486423838667</v>
      </c>
      <c r="H437" s="1">
        <v>80</v>
      </c>
      <c r="I437" s="5">
        <v>30545709976</v>
      </c>
      <c r="J437" s="1" t="s">
        <v>322</v>
      </c>
      <c r="K437" s="5">
        <v>1</v>
      </c>
      <c r="L437" s="1" t="s">
        <v>168</v>
      </c>
      <c r="M437" s="2">
        <v>29581.26</v>
      </c>
      <c r="N437" s="5">
        <v>0</v>
      </c>
      <c r="O437" s="5">
        <v>0</v>
      </c>
      <c r="P437" s="5">
        <v>0</v>
      </c>
      <c r="Q437" s="2">
        <v>6212.06</v>
      </c>
      <c r="R437" s="5">
        <v>35793.32</v>
      </c>
    </row>
    <row r="438" spans="1:18" x14ac:dyDescent="0.25">
      <c r="A438" s="1">
        <v>45988</v>
      </c>
      <c r="B438" s="1">
        <v>1</v>
      </c>
      <c r="C438" s="5">
        <v>2</v>
      </c>
      <c r="D438" s="5">
        <v>1590</v>
      </c>
      <c r="E438" s="7" t="str">
        <f t="shared" si="12"/>
        <v>000200001590</v>
      </c>
      <c r="F438" s="7" t="str">
        <f t="shared" si="13"/>
        <v>30718520416000200001590</v>
      </c>
      <c r="G438" s="5">
        <v>75486452735857</v>
      </c>
      <c r="H438" s="1">
        <v>80</v>
      </c>
      <c r="I438" s="5">
        <v>30718520416</v>
      </c>
      <c r="J438" s="1" t="s">
        <v>176</v>
      </c>
      <c r="K438" s="5">
        <v>1</v>
      </c>
      <c r="L438" s="1" t="s">
        <v>168</v>
      </c>
      <c r="M438" s="2">
        <v>66115.7</v>
      </c>
      <c r="N438" s="1">
        <v>0</v>
      </c>
      <c r="O438" s="1">
        <v>0</v>
      </c>
      <c r="P438" s="5">
        <v>0</v>
      </c>
      <c r="Q438" s="2">
        <v>13884.3</v>
      </c>
      <c r="R438" s="1">
        <v>80000</v>
      </c>
    </row>
    <row r="439" spans="1:18" x14ac:dyDescent="0.25">
      <c r="A439" s="1">
        <v>45988</v>
      </c>
      <c r="B439" s="1">
        <v>1</v>
      </c>
      <c r="C439" s="5">
        <v>3</v>
      </c>
      <c r="D439" s="5">
        <v>1204</v>
      </c>
      <c r="E439" s="7" t="str">
        <f t="shared" si="12"/>
        <v>000300001204</v>
      </c>
      <c r="F439" s="7" t="str">
        <f t="shared" si="13"/>
        <v>30717292355000300001204</v>
      </c>
      <c r="G439" s="5">
        <v>75485450673753</v>
      </c>
      <c r="H439" s="1">
        <v>80</v>
      </c>
      <c r="I439" s="5">
        <v>30717292355</v>
      </c>
      <c r="J439" s="1" t="s">
        <v>294</v>
      </c>
      <c r="K439" s="5">
        <v>1</v>
      </c>
      <c r="L439" s="1" t="s">
        <v>168</v>
      </c>
      <c r="M439" s="2">
        <v>24628.1</v>
      </c>
      <c r="N439" s="1">
        <v>0</v>
      </c>
      <c r="O439" s="1">
        <v>0</v>
      </c>
      <c r="P439" s="5">
        <v>0</v>
      </c>
      <c r="Q439" s="2">
        <v>5171.8999999999996</v>
      </c>
      <c r="R439" s="1">
        <v>29800</v>
      </c>
    </row>
    <row r="440" spans="1:18" x14ac:dyDescent="0.25">
      <c r="A440" s="1">
        <v>45988</v>
      </c>
      <c r="B440" s="1">
        <v>1</v>
      </c>
      <c r="C440" s="5">
        <v>115</v>
      </c>
      <c r="D440" s="5">
        <v>9520</v>
      </c>
      <c r="E440" s="7" t="str">
        <f t="shared" si="12"/>
        <v>011500009520</v>
      </c>
      <c r="F440" s="7" t="str">
        <f t="shared" si="13"/>
        <v>30698548289011500009520</v>
      </c>
      <c r="G440" s="5">
        <v>75489453512448</v>
      </c>
      <c r="H440" s="1">
        <v>80</v>
      </c>
      <c r="I440" s="5">
        <v>30698548289</v>
      </c>
      <c r="J440" s="1" t="s">
        <v>323</v>
      </c>
      <c r="K440" s="5">
        <v>1</v>
      </c>
      <c r="L440" s="1" t="s">
        <v>168</v>
      </c>
      <c r="M440" s="2">
        <v>88467.43</v>
      </c>
      <c r="N440" s="1">
        <v>0</v>
      </c>
      <c r="O440" s="1">
        <v>0</v>
      </c>
      <c r="P440" s="2">
        <v>12954.66</v>
      </c>
      <c r="Q440" s="2">
        <v>18578.16</v>
      </c>
      <c r="R440" s="1">
        <v>120000.25</v>
      </c>
    </row>
    <row r="441" spans="1:18" x14ac:dyDescent="0.25">
      <c r="A441" s="1">
        <v>45988</v>
      </c>
      <c r="B441" s="1">
        <v>1</v>
      </c>
      <c r="C441" s="5">
        <v>5</v>
      </c>
      <c r="D441" s="5">
        <v>593</v>
      </c>
      <c r="E441" s="7" t="str">
        <f t="shared" si="12"/>
        <v>000500000593</v>
      </c>
      <c r="F441" s="7" t="str">
        <f t="shared" si="13"/>
        <v>27119214101000500000593</v>
      </c>
      <c r="G441" s="5">
        <v>75481525146783</v>
      </c>
      <c r="H441" s="1">
        <v>80</v>
      </c>
      <c r="I441" s="5">
        <v>27119214101</v>
      </c>
      <c r="J441" s="1" t="s">
        <v>932</v>
      </c>
      <c r="K441" s="5">
        <v>1</v>
      </c>
      <c r="L441" s="1" t="s">
        <v>168</v>
      </c>
      <c r="M441" s="2">
        <v>25206.61</v>
      </c>
      <c r="N441" s="1">
        <v>0</v>
      </c>
      <c r="O441" s="1">
        <v>0</v>
      </c>
      <c r="P441" s="5">
        <v>0</v>
      </c>
      <c r="Q441" s="2">
        <v>5293.39</v>
      </c>
      <c r="R441" s="2">
        <v>30500</v>
      </c>
    </row>
    <row r="442" spans="1:18" x14ac:dyDescent="0.25">
      <c r="A442" s="1">
        <v>45988</v>
      </c>
      <c r="B442" s="1">
        <v>1</v>
      </c>
      <c r="C442" s="5">
        <v>3</v>
      </c>
      <c r="D442" s="5">
        <v>6508</v>
      </c>
      <c r="E442" s="7" t="str">
        <f t="shared" si="12"/>
        <v>000300006508</v>
      </c>
      <c r="F442" s="7" t="str">
        <f t="shared" si="13"/>
        <v>27281730237000300006508</v>
      </c>
      <c r="G442" s="5">
        <v>75487402210731</v>
      </c>
      <c r="H442" s="1">
        <v>80</v>
      </c>
      <c r="I442" s="5">
        <v>27281730237</v>
      </c>
      <c r="J442" s="1" t="s">
        <v>845</v>
      </c>
      <c r="K442" s="5">
        <v>1</v>
      </c>
      <c r="L442" s="1" t="s">
        <v>168</v>
      </c>
      <c r="M442" s="5">
        <v>519917.36</v>
      </c>
      <c r="N442" s="1">
        <v>0</v>
      </c>
      <c r="O442" s="1">
        <v>0</v>
      </c>
      <c r="P442" s="2">
        <v>0</v>
      </c>
      <c r="Q442" s="2">
        <v>109182.65</v>
      </c>
      <c r="R442" s="2">
        <v>629100.01</v>
      </c>
    </row>
    <row r="443" spans="1:18" x14ac:dyDescent="0.25">
      <c r="A443" s="1">
        <v>45988</v>
      </c>
      <c r="B443" s="1">
        <v>1</v>
      </c>
      <c r="C443" s="5">
        <v>2</v>
      </c>
      <c r="D443" s="5">
        <v>18883</v>
      </c>
      <c r="E443" s="7" t="str">
        <f t="shared" si="12"/>
        <v>000200018883</v>
      </c>
      <c r="F443" s="7" t="str">
        <f t="shared" si="13"/>
        <v>30714379468000200018883</v>
      </c>
      <c r="G443" s="5">
        <v>75488473659527</v>
      </c>
      <c r="H443" s="1">
        <v>80</v>
      </c>
      <c r="I443" s="5">
        <v>30714379468</v>
      </c>
      <c r="J443" s="1" t="s">
        <v>220</v>
      </c>
      <c r="K443" s="5">
        <v>1</v>
      </c>
      <c r="L443" s="1" t="s">
        <v>168</v>
      </c>
      <c r="M443" s="2">
        <v>2171948.9900000002</v>
      </c>
      <c r="N443" s="1">
        <v>0</v>
      </c>
      <c r="O443" s="1">
        <v>0</v>
      </c>
      <c r="P443" s="2">
        <v>0</v>
      </c>
      <c r="Q443" s="2">
        <v>456109.29</v>
      </c>
      <c r="R443" s="2">
        <v>2628058.2799999998</v>
      </c>
    </row>
    <row r="444" spans="1:18" x14ac:dyDescent="0.25">
      <c r="A444" s="1">
        <v>45988</v>
      </c>
      <c r="B444" s="1">
        <v>1</v>
      </c>
      <c r="C444" s="5">
        <v>10</v>
      </c>
      <c r="D444" s="5">
        <v>11367</v>
      </c>
      <c r="E444" s="7" t="str">
        <f t="shared" si="12"/>
        <v>001000011367</v>
      </c>
      <c r="F444" s="7" t="str">
        <f t="shared" si="13"/>
        <v>30710029039001000011367</v>
      </c>
      <c r="G444" s="5">
        <v>75489420055754</v>
      </c>
      <c r="H444" s="1">
        <v>80</v>
      </c>
      <c r="I444" s="5">
        <v>30710029039</v>
      </c>
      <c r="J444" s="1" t="s">
        <v>318</v>
      </c>
      <c r="K444" s="5">
        <v>1</v>
      </c>
      <c r="L444" s="1" t="s">
        <v>168</v>
      </c>
      <c r="M444" s="2">
        <v>308590.03000000003</v>
      </c>
      <c r="N444" s="1">
        <v>0</v>
      </c>
      <c r="O444" s="1">
        <v>0</v>
      </c>
      <c r="P444" s="2">
        <v>0</v>
      </c>
      <c r="Q444" s="2">
        <v>64803.91</v>
      </c>
      <c r="R444" s="2">
        <v>373393.94</v>
      </c>
    </row>
    <row r="445" spans="1:18" x14ac:dyDescent="0.25">
      <c r="A445" s="1">
        <v>45988</v>
      </c>
      <c r="B445" s="1">
        <v>1</v>
      </c>
      <c r="C445" s="5">
        <v>2</v>
      </c>
      <c r="D445" s="5">
        <v>10466</v>
      </c>
      <c r="E445" s="7" t="str">
        <f t="shared" si="12"/>
        <v>000200010466</v>
      </c>
      <c r="F445" s="7" t="str">
        <f t="shared" si="13"/>
        <v>30642674567000200010466</v>
      </c>
      <c r="G445" s="5">
        <v>75487562837345</v>
      </c>
      <c r="H445" s="1">
        <v>80</v>
      </c>
      <c r="I445" s="5">
        <v>30642674567</v>
      </c>
      <c r="J445" s="1" t="s">
        <v>184</v>
      </c>
      <c r="K445" s="5">
        <v>1</v>
      </c>
      <c r="L445" s="1" t="s">
        <v>168</v>
      </c>
      <c r="M445" s="1">
        <v>35503.33</v>
      </c>
      <c r="N445" s="1">
        <v>0</v>
      </c>
      <c r="O445" s="1">
        <v>0</v>
      </c>
      <c r="P445" s="5">
        <v>0</v>
      </c>
      <c r="Q445" s="1">
        <v>7455.7</v>
      </c>
      <c r="R445" s="5">
        <v>42959.03</v>
      </c>
    </row>
    <row r="446" spans="1:18" x14ac:dyDescent="0.25">
      <c r="A446" s="1">
        <v>45988</v>
      </c>
      <c r="B446" s="1">
        <v>1</v>
      </c>
      <c r="C446" s="5">
        <v>2</v>
      </c>
      <c r="D446" s="5">
        <v>10461</v>
      </c>
      <c r="E446" s="7" t="str">
        <f t="shared" si="12"/>
        <v>000200010461</v>
      </c>
      <c r="F446" s="7" t="str">
        <f t="shared" si="13"/>
        <v>30642674567000200010461</v>
      </c>
      <c r="G446" s="5">
        <v>75487550655673</v>
      </c>
      <c r="H446" s="1">
        <v>80</v>
      </c>
      <c r="I446" s="5">
        <v>30642674567</v>
      </c>
      <c r="J446" s="1" t="s">
        <v>184</v>
      </c>
      <c r="K446" s="5">
        <v>1</v>
      </c>
      <c r="L446" s="1" t="s">
        <v>168</v>
      </c>
      <c r="M446" s="1">
        <v>43672.91</v>
      </c>
      <c r="N446" s="1">
        <v>0</v>
      </c>
      <c r="O446" s="1">
        <v>0</v>
      </c>
      <c r="P446" s="5">
        <v>0</v>
      </c>
      <c r="Q446" s="1">
        <v>9171.31</v>
      </c>
      <c r="R446" s="5">
        <v>52844.22</v>
      </c>
    </row>
    <row r="447" spans="1:18" x14ac:dyDescent="0.25">
      <c r="A447" s="1">
        <v>45988</v>
      </c>
      <c r="B447" s="1">
        <v>1</v>
      </c>
      <c r="C447" s="1">
        <v>3</v>
      </c>
      <c r="D447" s="1">
        <v>668</v>
      </c>
      <c r="E447" s="7" t="str">
        <f t="shared" si="12"/>
        <v>000300000668</v>
      </c>
      <c r="F447" s="7" t="str">
        <f t="shared" si="13"/>
        <v>30716973065000300000668</v>
      </c>
      <c r="G447" s="5">
        <v>75485406427314</v>
      </c>
      <c r="H447" s="1">
        <v>80</v>
      </c>
      <c r="I447" s="1">
        <v>30716973065</v>
      </c>
      <c r="J447" s="1" t="s">
        <v>257</v>
      </c>
      <c r="K447" s="1">
        <v>1</v>
      </c>
      <c r="L447" s="1" t="s">
        <v>168</v>
      </c>
      <c r="M447" s="1">
        <v>66115.710000000006</v>
      </c>
      <c r="N447" s="1">
        <v>0</v>
      </c>
      <c r="O447" s="1">
        <v>0</v>
      </c>
      <c r="P447" s="1">
        <v>0</v>
      </c>
      <c r="Q447" s="1">
        <v>13884.3</v>
      </c>
      <c r="R447" s="1">
        <v>80000</v>
      </c>
    </row>
    <row r="448" spans="1:18" x14ac:dyDescent="0.25">
      <c r="A448" s="1">
        <v>45988</v>
      </c>
      <c r="B448" s="1">
        <v>1</v>
      </c>
      <c r="C448" s="1">
        <v>5</v>
      </c>
      <c r="D448" s="1">
        <v>518</v>
      </c>
      <c r="E448" s="7" t="str">
        <f t="shared" si="12"/>
        <v>000500000518</v>
      </c>
      <c r="F448" s="7" t="str">
        <f t="shared" si="13"/>
        <v>20177699889000500000518</v>
      </c>
      <c r="G448" s="5">
        <v>75489513465260</v>
      </c>
      <c r="H448" s="1">
        <v>80</v>
      </c>
      <c r="I448" s="1">
        <v>20177699889</v>
      </c>
      <c r="J448" s="1" t="s">
        <v>250</v>
      </c>
      <c r="K448" s="1">
        <v>1</v>
      </c>
      <c r="L448" s="1" t="s">
        <v>168</v>
      </c>
      <c r="M448" s="1">
        <v>36363.620000000003</v>
      </c>
      <c r="N448" s="1">
        <v>0</v>
      </c>
      <c r="O448" s="1">
        <v>0</v>
      </c>
      <c r="P448" s="1">
        <v>0</v>
      </c>
      <c r="Q448" s="1">
        <v>7636.36</v>
      </c>
      <c r="R448" s="1">
        <v>44000</v>
      </c>
    </row>
    <row r="449" spans="1:18" x14ac:dyDescent="0.25">
      <c r="A449" s="1">
        <v>45988</v>
      </c>
      <c r="B449" s="1">
        <v>1</v>
      </c>
      <c r="C449" s="1">
        <v>3</v>
      </c>
      <c r="D449" s="1">
        <v>1562</v>
      </c>
      <c r="E449" s="7" t="str">
        <f t="shared" si="12"/>
        <v>000300001562</v>
      </c>
      <c r="F449" s="7" t="str">
        <f t="shared" si="13"/>
        <v>20162895142000300001562</v>
      </c>
      <c r="G449" s="5">
        <v>75482499727482</v>
      </c>
      <c r="H449" s="1">
        <v>80</v>
      </c>
      <c r="I449" s="1">
        <v>20162895142</v>
      </c>
      <c r="J449" s="1" t="s">
        <v>62</v>
      </c>
      <c r="K449" s="1">
        <v>1</v>
      </c>
      <c r="L449" s="1" t="s">
        <v>168</v>
      </c>
      <c r="M449" s="1">
        <v>38181.81</v>
      </c>
      <c r="N449" s="1">
        <v>0</v>
      </c>
      <c r="O449" s="1">
        <v>0</v>
      </c>
      <c r="P449" s="1">
        <v>0</v>
      </c>
      <c r="Q449" s="1">
        <v>8018.18</v>
      </c>
      <c r="R449" s="1">
        <v>46200</v>
      </c>
    </row>
    <row r="450" spans="1:18" x14ac:dyDescent="0.25">
      <c r="A450" s="1">
        <v>45988</v>
      </c>
      <c r="B450" s="1">
        <v>1</v>
      </c>
      <c r="C450" s="1">
        <v>2</v>
      </c>
      <c r="D450" s="1">
        <v>684</v>
      </c>
      <c r="E450" s="7" t="str">
        <f t="shared" si="12"/>
        <v>000200000684</v>
      </c>
      <c r="F450" s="7" t="str">
        <f t="shared" si="13"/>
        <v>20384395199000200000684</v>
      </c>
      <c r="G450" s="5">
        <v>75489508530467</v>
      </c>
      <c r="H450" s="1">
        <v>80</v>
      </c>
      <c r="I450" s="1">
        <v>20384395199</v>
      </c>
      <c r="J450" s="1" t="s">
        <v>933</v>
      </c>
      <c r="K450" s="1">
        <v>1</v>
      </c>
      <c r="L450" s="1" t="s">
        <v>168</v>
      </c>
      <c r="M450" s="1">
        <v>27272.71</v>
      </c>
      <c r="N450" s="1">
        <v>0</v>
      </c>
      <c r="O450" s="1">
        <v>0</v>
      </c>
      <c r="P450" s="1">
        <v>0</v>
      </c>
      <c r="Q450" s="1">
        <v>5727.27</v>
      </c>
      <c r="R450" s="1">
        <v>32999.99</v>
      </c>
    </row>
    <row r="451" spans="1:18" x14ac:dyDescent="0.25">
      <c r="A451" s="1">
        <v>45988</v>
      </c>
      <c r="B451" s="1">
        <v>1</v>
      </c>
      <c r="C451" s="1">
        <v>2</v>
      </c>
      <c r="D451" s="1">
        <v>685</v>
      </c>
      <c r="E451" s="7" t="str">
        <f t="shared" ref="E451:E514" si="14">TEXT(C451,"0000")&amp;TEXT(D451,"00000000")</f>
        <v>000200000685</v>
      </c>
      <c r="F451" s="7" t="str">
        <f t="shared" ref="F451:F514" si="15">I451&amp;E451</f>
        <v>20384395199000200000685</v>
      </c>
      <c r="G451" s="5">
        <v>75489509206715</v>
      </c>
      <c r="H451" s="1">
        <v>80</v>
      </c>
      <c r="I451" s="1">
        <v>20384395199</v>
      </c>
      <c r="J451" s="1" t="s">
        <v>933</v>
      </c>
      <c r="K451" s="1">
        <v>1</v>
      </c>
      <c r="L451" s="1" t="s">
        <v>168</v>
      </c>
      <c r="M451" s="1">
        <v>18181.810000000001</v>
      </c>
      <c r="N451" s="1">
        <v>0</v>
      </c>
      <c r="O451" s="1">
        <v>0</v>
      </c>
      <c r="P451" s="1">
        <v>0</v>
      </c>
      <c r="Q451" s="1">
        <v>3818.18</v>
      </c>
      <c r="R451" s="1">
        <v>21999.99</v>
      </c>
    </row>
    <row r="452" spans="1:18" x14ac:dyDescent="0.25">
      <c r="A452" s="1">
        <v>45988</v>
      </c>
      <c r="B452" s="1">
        <v>1</v>
      </c>
      <c r="C452" s="1">
        <v>32</v>
      </c>
      <c r="D452" s="1">
        <v>255762</v>
      </c>
      <c r="E452" s="7" t="str">
        <f t="shared" si="14"/>
        <v>003200255762</v>
      </c>
      <c r="F452" s="7" t="str">
        <f t="shared" si="15"/>
        <v>30621181838003200255762</v>
      </c>
      <c r="G452" s="5">
        <v>75488472112598</v>
      </c>
      <c r="H452" s="1">
        <v>80</v>
      </c>
      <c r="I452" s="1">
        <v>30621181838</v>
      </c>
      <c r="J452" s="1" t="s">
        <v>180</v>
      </c>
      <c r="K452" s="1">
        <v>1</v>
      </c>
      <c r="L452" s="1" t="s">
        <v>168</v>
      </c>
      <c r="M452" s="1">
        <v>1197527.67</v>
      </c>
      <c r="P452" s="1">
        <v>14969.1</v>
      </c>
      <c r="Q452" s="1">
        <v>251480.81</v>
      </c>
      <c r="R452" s="1">
        <v>1463977.54</v>
      </c>
    </row>
    <row r="453" spans="1:18" x14ac:dyDescent="0.25">
      <c r="A453" s="1">
        <v>45988</v>
      </c>
      <c r="B453" s="1">
        <v>1</v>
      </c>
      <c r="C453" s="1">
        <v>32</v>
      </c>
      <c r="D453" s="1">
        <v>255763</v>
      </c>
      <c r="E453" s="7" t="str">
        <f t="shared" si="14"/>
        <v>003200255763</v>
      </c>
      <c r="F453" s="7" t="str">
        <f t="shared" si="15"/>
        <v>30621181838003200255763</v>
      </c>
      <c r="G453" s="5">
        <v>75488472138134</v>
      </c>
      <c r="H453" s="1">
        <v>80</v>
      </c>
      <c r="I453" s="1">
        <v>30621181838</v>
      </c>
      <c r="J453" s="1" t="s">
        <v>180</v>
      </c>
      <c r="K453" s="1">
        <v>1</v>
      </c>
      <c r="L453" s="1" t="s">
        <v>168</v>
      </c>
      <c r="M453" s="1">
        <v>607091.86</v>
      </c>
      <c r="P453" s="1">
        <v>0</v>
      </c>
      <c r="Q453" s="1">
        <v>127489.29</v>
      </c>
      <c r="R453" s="1">
        <v>734581.18</v>
      </c>
    </row>
    <row r="454" spans="1:18" x14ac:dyDescent="0.25">
      <c r="A454" s="1">
        <v>45988</v>
      </c>
      <c r="B454" s="1">
        <v>1</v>
      </c>
      <c r="C454" s="1">
        <v>32</v>
      </c>
      <c r="D454" s="1">
        <v>255764</v>
      </c>
      <c r="E454" s="7" t="str">
        <f t="shared" si="14"/>
        <v>003200255764</v>
      </c>
      <c r="F454" s="7" t="str">
        <f t="shared" si="15"/>
        <v>30621181838003200255764</v>
      </c>
      <c r="G454" s="5">
        <v>75488472163400</v>
      </c>
      <c r="H454" s="1">
        <v>80</v>
      </c>
      <c r="I454" s="1">
        <v>30621181838</v>
      </c>
      <c r="J454" s="1" t="s">
        <v>180</v>
      </c>
      <c r="K454" s="1">
        <v>1</v>
      </c>
      <c r="L454" s="1" t="s">
        <v>168</v>
      </c>
      <c r="M454" s="1">
        <v>425832.1</v>
      </c>
      <c r="P454" s="1">
        <v>0</v>
      </c>
      <c r="Q454" s="1">
        <v>89424.74</v>
      </c>
      <c r="R454" s="1">
        <v>515256.86</v>
      </c>
    </row>
    <row r="455" spans="1:18" x14ac:dyDescent="0.25">
      <c r="A455" s="1">
        <v>45988</v>
      </c>
      <c r="B455" s="1">
        <v>1</v>
      </c>
      <c r="C455" s="1">
        <v>32</v>
      </c>
      <c r="D455" s="1">
        <v>255766</v>
      </c>
      <c r="E455" s="7" t="str">
        <f t="shared" si="14"/>
        <v>003200255766</v>
      </c>
      <c r="F455" s="7" t="str">
        <f t="shared" si="15"/>
        <v>30621181838003200255766</v>
      </c>
      <c r="G455" s="5">
        <v>75488472217930</v>
      </c>
      <c r="H455" s="1">
        <v>80</v>
      </c>
      <c r="I455" s="1">
        <v>30621181838</v>
      </c>
      <c r="J455" s="1" t="s">
        <v>180</v>
      </c>
      <c r="K455" s="1">
        <v>1</v>
      </c>
      <c r="L455" s="1" t="s">
        <v>168</v>
      </c>
      <c r="M455" s="1">
        <v>1417004.9</v>
      </c>
      <c r="P455" s="1">
        <v>17712.57</v>
      </c>
      <c r="Q455" s="1">
        <v>297571.03000000003</v>
      </c>
      <c r="R455" s="1">
        <v>1732288.48</v>
      </c>
    </row>
    <row r="456" spans="1:18" x14ac:dyDescent="0.25">
      <c r="A456" s="1">
        <v>45988</v>
      </c>
      <c r="B456" s="1">
        <v>1</v>
      </c>
      <c r="C456" s="1">
        <v>32</v>
      </c>
      <c r="D456" s="1">
        <v>255750</v>
      </c>
      <c r="E456" s="7" t="str">
        <f t="shared" si="14"/>
        <v>003200255750</v>
      </c>
      <c r="F456" s="7" t="str">
        <f t="shared" si="15"/>
        <v>30621181838003200255750</v>
      </c>
      <c r="G456" s="5">
        <v>75488471717900</v>
      </c>
      <c r="H456" s="1">
        <v>80</v>
      </c>
      <c r="I456" s="1">
        <v>30621181838</v>
      </c>
      <c r="J456" s="1" t="s">
        <v>180</v>
      </c>
      <c r="K456" s="1">
        <v>1</v>
      </c>
      <c r="L456" s="1" t="s">
        <v>168</v>
      </c>
      <c r="M456" s="1">
        <v>142609.67000000001</v>
      </c>
      <c r="P456" s="1">
        <v>0</v>
      </c>
      <c r="Q456" s="1">
        <v>29948.03</v>
      </c>
      <c r="R456" s="1">
        <v>172557.71</v>
      </c>
    </row>
    <row r="457" spans="1:18" x14ac:dyDescent="0.25">
      <c r="A457" s="1">
        <v>45988</v>
      </c>
      <c r="B457" s="1">
        <v>1</v>
      </c>
      <c r="C457" s="1">
        <v>32</v>
      </c>
      <c r="D457" s="1">
        <v>255751</v>
      </c>
      <c r="E457" s="7" t="str">
        <f t="shared" si="14"/>
        <v>003200255751</v>
      </c>
      <c r="F457" s="7" t="str">
        <f t="shared" si="15"/>
        <v>30621181838003200255751</v>
      </c>
      <c r="G457" s="5">
        <v>75488471743159</v>
      </c>
      <c r="H457" s="1">
        <v>80</v>
      </c>
      <c r="I457" s="1">
        <v>30621181838</v>
      </c>
      <c r="J457" s="1" t="s">
        <v>180</v>
      </c>
      <c r="K457" s="1">
        <v>1</v>
      </c>
      <c r="L457" s="1" t="s">
        <v>168</v>
      </c>
      <c r="M457" s="1">
        <v>2458587.67</v>
      </c>
      <c r="P457" s="1">
        <v>30732.35</v>
      </c>
      <c r="Q457" s="1">
        <v>516303.41</v>
      </c>
      <c r="R457" s="1">
        <v>3005623.41</v>
      </c>
    </row>
    <row r="458" spans="1:18" x14ac:dyDescent="0.25">
      <c r="A458" s="1">
        <v>45988</v>
      </c>
      <c r="B458" s="1">
        <v>1</v>
      </c>
      <c r="C458" s="1">
        <v>32</v>
      </c>
      <c r="D458" s="1">
        <v>255752</v>
      </c>
      <c r="E458" s="7" t="str">
        <f t="shared" si="14"/>
        <v>003200255752</v>
      </c>
      <c r="F458" s="7" t="str">
        <f t="shared" si="15"/>
        <v>30621181838003200255752</v>
      </c>
      <c r="G458" s="5">
        <v>75488471768927</v>
      </c>
      <c r="H458" s="1">
        <v>80</v>
      </c>
      <c r="I458" s="1">
        <v>30621181838</v>
      </c>
      <c r="J458" s="1" t="s">
        <v>180</v>
      </c>
      <c r="K458" s="1">
        <v>1</v>
      </c>
      <c r="L458" s="1" t="s">
        <v>168</v>
      </c>
      <c r="M458" s="1">
        <v>1840488.14</v>
      </c>
      <c r="P458" s="1">
        <v>23006.12</v>
      </c>
      <c r="Q458" s="1">
        <v>386502.51</v>
      </c>
      <c r="R458" s="1">
        <v>2249996.77</v>
      </c>
    </row>
    <row r="459" spans="1:18" x14ac:dyDescent="0.25">
      <c r="A459" s="1">
        <v>45988</v>
      </c>
      <c r="B459" s="1">
        <v>1</v>
      </c>
      <c r="C459" s="1">
        <v>32</v>
      </c>
      <c r="D459" s="1">
        <v>255753</v>
      </c>
      <c r="E459" s="7" t="str">
        <f t="shared" si="14"/>
        <v>003200255753</v>
      </c>
      <c r="F459" s="7" t="str">
        <f t="shared" si="15"/>
        <v>30621181838003200255753</v>
      </c>
      <c r="G459" s="5">
        <v>75488471802475</v>
      </c>
      <c r="H459" s="1">
        <v>80</v>
      </c>
      <c r="I459" s="1">
        <v>30621181838</v>
      </c>
      <c r="J459" s="1" t="s">
        <v>180</v>
      </c>
      <c r="K459" s="1">
        <v>1</v>
      </c>
      <c r="L459" s="1" t="s">
        <v>168</v>
      </c>
      <c r="M459" s="1">
        <v>1286590.33</v>
      </c>
      <c r="P459" s="1">
        <v>16082.38</v>
      </c>
      <c r="Q459" s="1">
        <v>270183.96999999997</v>
      </c>
      <c r="R459" s="1">
        <v>1572856.7</v>
      </c>
    </row>
    <row r="460" spans="1:18" x14ac:dyDescent="0.25">
      <c r="A460" s="1">
        <v>45988</v>
      </c>
      <c r="B460" s="1">
        <v>1</v>
      </c>
      <c r="C460" s="1">
        <v>32</v>
      </c>
      <c r="D460" s="1">
        <v>255754</v>
      </c>
      <c r="E460" s="7" t="str">
        <f t="shared" si="14"/>
        <v>003200255754</v>
      </c>
      <c r="F460" s="7" t="str">
        <f t="shared" si="15"/>
        <v>30621181838003200255754</v>
      </c>
      <c r="G460" s="5">
        <v>75488471837872</v>
      </c>
      <c r="H460" s="1">
        <v>80</v>
      </c>
      <c r="I460" s="1">
        <v>30621181838</v>
      </c>
      <c r="J460" s="1" t="s">
        <v>180</v>
      </c>
      <c r="K460" s="1">
        <v>1</v>
      </c>
      <c r="L460" s="1" t="s">
        <v>168</v>
      </c>
      <c r="M460" s="1">
        <v>329193.09999999998</v>
      </c>
      <c r="P460" s="1">
        <v>0</v>
      </c>
      <c r="Q460" s="1">
        <v>69130.55</v>
      </c>
      <c r="R460" s="1">
        <v>398323.6</v>
      </c>
    </row>
    <row r="461" spans="1:18" x14ac:dyDescent="0.25">
      <c r="A461" s="1">
        <v>45988</v>
      </c>
      <c r="B461" s="1">
        <v>1</v>
      </c>
      <c r="C461" s="1">
        <v>32</v>
      </c>
      <c r="D461" s="1">
        <v>255755</v>
      </c>
      <c r="E461" s="7" t="str">
        <f t="shared" si="14"/>
        <v>003200255755</v>
      </c>
      <c r="F461" s="7" t="str">
        <f t="shared" si="15"/>
        <v>30621181838003200255755</v>
      </c>
      <c r="G461" s="5">
        <v>75488471865214</v>
      </c>
      <c r="H461" s="1">
        <v>80</v>
      </c>
      <c r="I461" s="1">
        <v>30621181838</v>
      </c>
      <c r="J461" s="1" t="s">
        <v>180</v>
      </c>
      <c r="K461" s="1">
        <v>1</v>
      </c>
      <c r="L461" s="1" t="s">
        <v>168</v>
      </c>
      <c r="M461" s="1">
        <v>501615.52</v>
      </c>
      <c r="P461" s="1">
        <v>0</v>
      </c>
      <c r="Q461" s="1">
        <v>105339.26</v>
      </c>
      <c r="R461" s="1">
        <v>606954.79</v>
      </c>
    </row>
    <row r="462" spans="1:18" x14ac:dyDescent="0.25">
      <c r="A462" s="1">
        <v>45988</v>
      </c>
      <c r="B462" s="1">
        <v>1</v>
      </c>
      <c r="C462" s="1">
        <v>32</v>
      </c>
      <c r="D462" s="1">
        <v>255756</v>
      </c>
      <c r="E462" s="7" t="str">
        <f t="shared" si="14"/>
        <v>003200255756</v>
      </c>
      <c r="F462" s="7" t="str">
        <f t="shared" si="15"/>
        <v>30621181838003200255756</v>
      </c>
      <c r="G462" s="5">
        <v>75488471890153</v>
      </c>
      <c r="H462" s="1">
        <v>80</v>
      </c>
      <c r="I462" s="1">
        <v>30621181838</v>
      </c>
      <c r="J462" s="1" t="s">
        <v>180</v>
      </c>
      <c r="K462" s="1">
        <v>1</v>
      </c>
      <c r="L462" s="1" t="s">
        <v>168</v>
      </c>
      <c r="M462" s="1">
        <v>13661519.24</v>
      </c>
      <c r="P462" s="1">
        <v>170769.01</v>
      </c>
      <c r="Q462" s="1">
        <v>2868919.04</v>
      </c>
      <c r="R462" s="1">
        <v>16701207.34</v>
      </c>
    </row>
    <row r="463" spans="1:18" x14ac:dyDescent="0.25">
      <c r="A463" s="1">
        <v>45988</v>
      </c>
      <c r="B463" s="1">
        <v>1</v>
      </c>
      <c r="C463" s="1">
        <v>32</v>
      </c>
      <c r="D463" s="1">
        <v>255786</v>
      </c>
      <c r="E463" s="7" t="str">
        <f t="shared" si="14"/>
        <v>003200255786</v>
      </c>
      <c r="F463" s="7" t="str">
        <f t="shared" si="15"/>
        <v>30621181838003200255786</v>
      </c>
      <c r="G463" s="5">
        <v>75488508898343</v>
      </c>
      <c r="H463" s="1">
        <v>80</v>
      </c>
      <c r="I463" s="1">
        <v>30621181838</v>
      </c>
      <c r="J463" s="1" t="s">
        <v>180</v>
      </c>
      <c r="K463" s="1">
        <v>1</v>
      </c>
      <c r="L463" s="1" t="s">
        <v>168</v>
      </c>
      <c r="M463" s="1">
        <v>305514.52</v>
      </c>
      <c r="P463" s="1">
        <v>0</v>
      </c>
      <c r="Q463" s="1">
        <v>64158.05</v>
      </c>
      <c r="R463" s="1">
        <v>369672.57</v>
      </c>
    </row>
    <row r="464" spans="1:18" x14ac:dyDescent="0.25">
      <c r="A464" s="1">
        <v>45988</v>
      </c>
      <c r="B464" s="1">
        <v>1</v>
      </c>
      <c r="C464" s="1">
        <v>32</v>
      </c>
      <c r="D464" s="1">
        <v>255787</v>
      </c>
      <c r="E464" s="7" t="str">
        <f t="shared" si="14"/>
        <v>003200255787</v>
      </c>
      <c r="F464" s="7" t="str">
        <f t="shared" si="15"/>
        <v>30621181838003200255787</v>
      </c>
      <c r="G464" s="5">
        <v>75488508934411</v>
      </c>
      <c r="H464" s="1">
        <v>80</v>
      </c>
      <c r="I464" s="1">
        <v>30621181838</v>
      </c>
      <c r="J464" s="1" t="s">
        <v>180</v>
      </c>
      <c r="K464" s="1">
        <v>1</v>
      </c>
      <c r="L464" s="1" t="s">
        <v>168</v>
      </c>
      <c r="M464" s="1">
        <v>35210992.520000003</v>
      </c>
      <c r="P464" s="1">
        <v>440137.41</v>
      </c>
      <c r="Q464" s="1">
        <v>7394308.4299999997</v>
      </c>
      <c r="R464" s="1">
        <v>43045438.340000004</v>
      </c>
    </row>
    <row r="465" spans="1:18" x14ac:dyDescent="0.25">
      <c r="A465" s="1">
        <v>45988</v>
      </c>
      <c r="B465" s="1">
        <v>1</v>
      </c>
      <c r="C465" s="1">
        <v>32</v>
      </c>
      <c r="D465" s="1">
        <v>255757</v>
      </c>
      <c r="E465" s="7" t="str">
        <f t="shared" si="14"/>
        <v>003200255757</v>
      </c>
      <c r="F465" s="7" t="str">
        <f t="shared" si="15"/>
        <v>30621181838003200255757</v>
      </c>
      <c r="G465" s="5">
        <v>75488471955077</v>
      </c>
      <c r="H465" s="1">
        <v>80</v>
      </c>
      <c r="I465" s="1">
        <v>30621181838</v>
      </c>
      <c r="J465" s="1" t="s">
        <v>180</v>
      </c>
      <c r="K465" s="1">
        <v>1</v>
      </c>
      <c r="L465" s="1" t="s">
        <v>168</v>
      </c>
      <c r="M465" s="1">
        <v>2478487</v>
      </c>
      <c r="P465" s="1">
        <v>30981.11</v>
      </c>
      <c r="Q465" s="1">
        <v>520482.27</v>
      </c>
      <c r="R465" s="1">
        <v>3029950.4</v>
      </c>
    </row>
    <row r="466" spans="1:18" x14ac:dyDescent="0.25">
      <c r="A466" s="1">
        <v>45988</v>
      </c>
      <c r="B466" s="1">
        <v>1</v>
      </c>
      <c r="C466" s="1">
        <v>32</v>
      </c>
      <c r="D466" s="1">
        <v>255758</v>
      </c>
      <c r="E466" s="7" t="str">
        <f t="shared" si="14"/>
        <v>003200255758</v>
      </c>
      <c r="F466" s="7" t="str">
        <f t="shared" si="15"/>
        <v>30621181838003200255758</v>
      </c>
      <c r="G466" s="5">
        <v>75488471985144</v>
      </c>
      <c r="H466" s="1">
        <v>80</v>
      </c>
      <c r="I466" s="1">
        <v>30621181838</v>
      </c>
      <c r="J466" s="1" t="s">
        <v>180</v>
      </c>
      <c r="K466" s="1">
        <v>1</v>
      </c>
      <c r="L466" s="1" t="s">
        <v>168</v>
      </c>
      <c r="M466" s="1">
        <v>3042945.76</v>
      </c>
      <c r="P466" s="1">
        <v>38036.86</v>
      </c>
      <c r="Q466" s="1">
        <v>639018.61</v>
      </c>
      <c r="R466" s="1">
        <v>3720001.17</v>
      </c>
    </row>
    <row r="467" spans="1:18" x14ac:dyDescent="0.25">
      <c r="A467" s="1">
        <v>45988</v>
      </c>
      <c r="B467" s="1">
        <v>1</v>
      </c>
      <c r="C467" s="1">
        <v>32</v>
      </c>
      <c r="D467" s="1">
        <v>255759</v>
      </c>
      <c r="E467" s="7" t="str">
        <f t="shared" si="14"/>
        <v>003200255759</v>
      </c>
      <c r="F467" s="7" t="str">
        <f t="shared" si="15"/>
        <v>30621181838003200255759</v>
      </c>
      <c r="G467" s="5">
        <v>75488472023605</v>
      </c>
      <c r="H467" s="1">
        <v>80</v>
      </c>
      <c r="I467" s="1">
        <v>30621181838</v>
      </c>
      <c r="J467" s="1" t="s">
        <v>180</v>
      </c>
      <c r="K467" s="1">
        <v>1</v>
      </c>
      <c r="L467" s="1" t="s">
        <v>168</v>
      </c>
      <c r="M467" s="1">
        <v>1916854.14</v>
      </c>
      <c r="P467" s="1">
        <v>23960.68</v>
      </c>
      <c r="Q467" s="1">
        <v>402539.37</v>
      </c>
      <c r="R467" s="1">
        <v>2343354.21</v>
      </c>
    </row>
    <row r="468" spans="1:18" x14ac:dyDescent="0.25">
      <c r="A468" s="1">
        <v>45988</v>
      </c>
      <c r="B468" s="1">
        <v>1</v>
      </c>
      <c r="C468" s="1">
        <v>32</v>
      </c>
      <c r="D468" s="1">
        <v>255760</v>
      </c>
      <c r="E468" s="7" t="str">
        <f t="shared" si="14"/>
        <v>003200255760</v>
      </c>
      <c r="F468" s="7" t="str">
        <f t="shared" si="15"/>
        <v>30621181838003200255760</v>
      </c>
      <c r="G468" s="5">
        <v>75488472047561</v>
      </c>
      <c r="H468" s="1">
        <v>80</v>
      </c>
      <c r="I468" s="1">
        <v>30621181838</v>
      </c>
      <c r="J468" s="1" t="s">
        <v>180</v>
      </c>
      <c r="K468" s="1">
        <v>1</v>
      </c>
      <c r="L468" s="1" t="s">
        <v>168</v>
      </c>
      <c r="M468" s="1">
        <v>2271467</v>
      </c>
      <c r="P468" s="1">
        <v>28393.32</v>
      </c>
      <c r="Q468" s="1">
        <v>477008.07</v>
      </c>
      <c r="R468" s="1">
        <v>2776868.44</v>
      </c>
    </row>
    <row r="469" spans="1:18" x14ac:dyDescent="0.25">
      <c r="A469" s="1">
        <v>45988</v>
      </c>
      <c r="B469" s="1">
        <v>1</v>
      </c>
      <c r="C469" s="1">
        <v>32</v>
      </c>
      <c r="D469" s="1">
        <v>255761</v>
      </c>
      <c r="E469" s="7" t="str">
        <f t="shared" si="14"/>
        <v>003200255761</v>
      </c>
      <c r="F469" s="7" t="str">
        <f t="shared" si="15"/>
        <v>30621181838003200255761</v>
      </c>
      <c r="G469" s="5">
        <v>75488472085121</v>
      </c>
      <c r="H469" s="1">
        <v>80</v>
      </c>
      <c r="I469" s="1">
        <v>30621181838</v>
      </c>
      <c r="J469" s="1" t="s">
        <v>180</v>
      </c>
      <c r="K469" s="1">
        <v>1</v>
      </c>
      <c r="L469" s="1" t="s">
        <v>168</v>
      </c>
      <c r="M469" s="1">
        <v>94038.1</v>
      </c>
      <c r="P469" s="1">
        <v>0</v>
      </c>
      <c r="Q469" s="1">
        <v>19748</v>
      </c>
      <c r="R469" s="1">
        <v>113786.11</v>
      </c>
    </row>
    <row r="470" spans="1:18" x14ac:dyDescent="0.25">
      <c r="A470" s="1">
        <v>45988</v>
      </c>
      <c r="B470" s="1">
        <v>1</v>
      </c>
      <c r="C470" s="1">
        <v>32</v>
      </c>
      <c r="D470" s="1">
        <v>255788</v>
      </c>
      <c r="E470" s="7" t="str">
        <f t="shared" si="14"/>
        <v>003200255788</v>
      </c>
      <c r="F470" s="7" t="str">
        <f t="shared" si="15"/>
        <v>30621181838003200255788</v>
      </c>
      <c r="G470" s="5">
        <v>75488509082470</v>
      </c>
      <c r="H470" s="1">
        <v>80</v>
      </c>
      <c r="I470" s="1">
        <v>30621181838</v>
      </c>
      <c r="J470" s="1" t="s">
        <v>180</v>
      </c>
      <c r="K470" s="1">
        <v>1</v>
      </c>
      <c r="L470" s="1" t="s">
        <v>168</v>
      </c>
      <c r="M470" s="1">
        <v>1616001.76</v>
      </c>
      <c r="P470" s="1">
        <v>20200.02</v>
      </c>
      <c r="Q470" s="1">
        <v>339360.37</v>
      </c>
      <c r="R470" s="1">
        <v>1975562.13</v>
      </c>
    </row>
    <row r="471" spans="1:18" x14ac:dyDescent="0.25">
      <c r="A471" s="1">
        <v>45988</v>
      </c>
      <c r="B471" s="1">
        <v>1</v>
      </c>
      <c r="C471" s="1">
        <v>32</v>
      </c>
      <c r="D471" s="1">
        <v>255789</v>
      </c>
      <c r="E471" s="7" t="str">
        <f t="shared" si="14"/>
        <v>003200255789</v>
      </c>
      <c r="F471" s="7" t="str">
        <f t="shared" si="15"/>
        <v>30621181838003200255789</v>
      </c>
      <c r="G471" s="5">
        <v>75488509110275</v>
      </c>
      <c r="H471" s="1">
        <v>80</v>
      </c>
      <c r="I471" s="1">
        <v>30621181838</v>
      </c>
      <c r="J471" s="1" t="s">
        <v>180</v>
      </c>
      <c r="K471" s="1">
        <v>1</v>
      </c>
      <c r="L471" s="1" t="s">
        <v>168</v>
      </c>
      <c r="M471" s="1">
        <v>67125.240000000005</v>
      </c>
      <c r="P471" s="1">
        <v>0</v>
      </c>
      <c r="Q471" s="1">
        <v>14096.3</v>
      </c>
      <c r="R471" s="1">
        <v>81221.53</v>
      </c>
    </row>
    <row r="472" spans="1:18" x14ac:dyDescent="0.25">
      <c r="A472" s="1">
        <v>45988</v>
      </c>
      <c r="B472" s="1">
        <v>3</v>
      </c>
      <c r="C472" s="1">
        <v>7</v>
      </c>
      <c r="D472" s="1">
        <v>221969</v>
      </c>
      <c r="E472" s="7" t="str">
        <f t="shared" si="14"/>
        <v>000700221969</v>
      </c>
      <c r="F472" s="7" t="str">
        <f t="shared" si="15"/>
        <v>30501044551000700221969</v>
      </c>
      <c r="G472" s="5">
        <v>75481424521573</v>
      </c>
      <c r="H472" s="1">
        <v>80</v>
      </c>
      <c r="I472" s="1">
        <v>30501044551</v>
      </c>
      <c r="J472" s="1" t="s">
        <v>187</v>
      </c>
      <c r="K472" s="1">
        <v>1</v>
      </c>
      <c r="L472" s="1" t="s">
        <v>168</v>
      </c>
      <c r="M472" s="1">
        <v>175025.4</v>
      </c>
      <c r="N472" s="1">
        <v>0</v>
      </c>
      <c r="O472" s="1">
        <v>0</v>
      </c>
      <c r="P472" s="1">
        <v>10501.52</v>
      </c>
      <c r="Q472" s="1">
        <v>36755.33</v>
      </c>
      <c r="R472" s="1">
        <v>222282.25</v>
      </c>
    </row>
    <row r="473" spans="1:18" x14ac:dyDescent="0.25">
      <c r="A473" s="1">
        <v>45988</v>
      </c>
      <c r="B473" s="1">
        <v>3</v>
      </c>
      <c r="C473" s="1">
        <v>7</v>
      </c>
      <c r="D473" s="1">
        <v>222021</v>
      </c>
      <c r="E473" s="7" t="str">
        <f t="shared" si="14"/>
        <v>000700222021</v>
      </c>
      <c r="F473" s="7" t="str">
        <f t="shared" si="15"/>
        <v>30501044551000700222021</v>
      </c>
      <c r="G473" s="5">
        <v>75481487610168</v>
      </c>
      <c r="H473" s="1">
        <v>80</v>
      </c>
      <c r="I473" s="1">
        <v>30501044551</v>
      </c>
      <c r="J473" s="1" t="s">
        <v>187</v>
      </c>
      <c r="K473" s="1">
        <v>1</v>
      </c>
      <c r="L473" s="1" t="s">
        <v>168</v>
      </c>
      <c r="M473" s="1">
        <v>3784.83</v>
      </c>
      <c r="N473" s="1">
        <v>0</v>
      </c>
      <c r="O473" s="1">
        <v>0</v>
      </c>
      <c r="P473" s="1">
        <v>0</v>
      </c>
      <c r="Q473" s="1">
        <v>794.81</v>
      </c>
      <c r="R473" s="1">
        <v>4579.6499999999996</v>
      </c>
    </row>
    <row r="474" spans="1:18" x14ac:dyDescent="0.25">
      <c r="A474" s="1">
        <v>45988</v>
      </c>
      <c r="B474" s="1">
        <v>3</v>
      </c>
      <c r="C474" s="1">
        <v>7</v>
      </c>
      <c r="D474" s="1">
        <v>222027</v>
      </c>
      <c r="E474" s="7" t="str">
        <f t="shared" si="14"/>
        <v>000700222027</v>
      </c>
      <c r="F474" s="7" t="str">
        <f t="shared" si="15"/>
        <v>30501044551000700222027</v>
      </c>
      <c r="G474" s="5">
        <v>75481488063518</v>
      </c>
      <c r="H474" s="1">
        <v>80</v>
      </c>
      <c r="I474" s="1">
        <v>30501044551</v>
      </c>
      <c r="J474" s="1" t="s">
        <v>187</v>
      </c>
      <c r="K474" s="1">
        <v>1</v>
      </c>
      <c r="L474" s="1" t="s">
        <v>168</v>
      </c>
      <c r="M474" s="1">
        <v>14499.42</v>
      </c>
      <c r="N474" s="1">
        <v>0</v>
      </c>
      <c r="O474" s="1">
        <v>0</v>
      </c>
      <c r="P474" s="1">
        <v>0</v>
      </c>
      <c r="Q474" s="1">
        <v>3044.88</v>
      </c>
      <c r="R474" s="1">
        <v>17544.3</v>
      </c>
    </row>
    <row r="475" spans="1:18" x14ac:dyDescent="0.25">
      <c r="A475" s="1">
        <v>45988</v>
      </c>
      <c r="B475" s="1">
        <v>3</v>
      </c>
      <c r="C475" s="1">
        <v>14</v>
      </c>
      <c r="D475" s="1">
        <v>13041</v>
      </c>
      <c r="E475" s="7" t="str">
        <f t="shared" si="14"/>
        <v>001400013041</v>
      </c>
      <c r="F475" s="7" t="str">
        <f t="shared" si="15"/>
        <v>30523412236001400013041</v>
      </c>
      <c r="G475" s="5">
        <v>75486454415349</v>
      </c>
      <c r="H475" s="1">
        <v>80</v>
      </c>
      <c r="I475" s="1">
        <v>30523412236</v>
      </c>
      <c r="J475" s="1" t="s">
        <v>213</v>
      </c>
      <c r="K475" s="1">
        <v>1</v>
      </c>
      <c r="L475" s="1" t="s">
        <v>168</v>
      </c>
      <c r="M475" s="1">
        <v>336831</v>
      </c>
      <c r="N475" s="1">
        <v>0</v>
      </c>
      <c r="O475" s="1">
        <v>0</v>
      </c>
      <c r="P475" s="1">
        <v>0</v>
      </c>
      <c r="Q475" s="1">
        <v>70734.509999999995</v>
      </c>
      <c r="R475" s="1">
        <v>407565.51</v>
      </c>
    </row>
    <row r="476" spans="1:18" x14ac:dyDescent="0.25">
      <c r="A476" s="1">
        <v>45988</v>
      </c>
      <c r="B476" s="1">
        <v>3</v>
      </c>
      <c r="C476" s="1">
        <v>14</v>
      </c>
      <c r="D476" s="1">
        <v>13042</v>
      </c>
      <c r="E476" s="7" t="str">
        <f t="shared" si="14"/>
        <v>001400013042</v>
      </c>
      <c r="F476" s="7" t="str">
        <f t="shared" si="15"/>
        <v>30523412236001400013042</v>
      </c>
      <c r="G476" s="5">
        <v>75486454747566</v>
      </c>
      <c r="H476" s="1">
        <v>80</v>
      </c>
      <c r="I476" s="1">
        <v>30523412236</v>
      </c>
      <c r="J476" s="1" t="s">
        <v>213</v>
      </c>
      <c r="K476" s="1">
        <v>1</v>
      </c>
      <c r="L476" s="1" t="s">
        <v>168</v>
      </c>
      <c r="M476" s="1">
        <v>219780.48000000001</v>
      </c>
      <c r="N476" s="1">
        <v>0</v>
      </c>
      <c r="O476" s="1">
        <v>0</v>
      </c>
      <c r="P476" s="1">
        <v>0</v>
      </c>
      <c r="Q476" s="1">
        <v>46153.9</v>
      </c>
      <c r="R476" s="1">
        <v>265934.38</v>
      </c>
    </row>
    <row r="477" spans="1:18" x14ac:dyDescent="0.25">
      <c r="A477" s="1">
        <v>45988</v>
      </c>
      <c r="B477" s="1">
        <v>11</v>
      </c>
      <c r="C477" s="1">
        <v>1</v>
      </c>
      <c r="D477" s="1">
        <v>555</v>
      </c>
      <c r="E477" s="7" t="str">
        <f t="shared" si="14"/>
        <v>000100000555</v>
      </c>
      <c r="F477" s="7" t="str">
        <f t="shared" si="15"/>
        <v>27299921536000100000555</v>
      </c>
      <c r="G477" s="5">
        <v>75486469208921</v>
      </c>
      <c r="H477" s="1">
        <v>80</v>
      </c>
      <c r="I477" s="1">
        <v>27299921536</v>
      </c>
      <c r="J477" s="1" t="s">
        <v>852</v>
      </c>
      <c r="K477" s="1">
        <v>1</v>
      </c>
      <c r="L477" s="1" t="s">
        <v>168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150000</v>
      </c>
    </row>
    <row r="478" spans="1:18" x14ac:dyDescent="0.25">
      <c r="A478" s="1">
        <v>45988</v>
      </c>
      <c r="B478" s="1">
        <v>11</v>
      </c>
      <c r="C478" s="1">
        <v>2</v>
      </c>
      <c r="D478" s="1">
        <v>107</v>
      </c>
      <c r="E478" s="7" t="str">
        <f t="shared" si="14"/>
        <v>000200000107</v>
      </c>
      <c r="F478" s="7" t="str">
        <f t="shared" si="15"/>
        <v>23329302539000200000107</v>
      </c>
      <c r="G478" s="5">
        <v>75489409706949</v>
      </c>
      <c r="H478" s="1">
        <v>80</v>
      </c>
      <c r="I478" s="1">
        <v>23329302539</v>
      </c>
      <c r="J478" s="1" t="s">
        <v>855</v>
      </c>
      <c r="K478" s="1">
        <v>1</v>
      </c>
      <c r="L478" s="1" t="s">
        <v>168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1385505</v>
      </c>
    </row>
    <row r="479" spans="1:18" x14ac:dyDescent="0.25">
      <c r="A479" s="1">
        <v>45988</v>
      </c>
      <c r="B479" s="1">
        <v>11</v>
      </c>
      <c r="C479" s="1">
        <v>3</v>
      </c>
      <c r="D479" s="1">
        <v>269</v>
      </c>
      <c r="E479" s="7" t="str">
        <f t="shared" si="14"/>
        <v>000300000269</v>
      </c>
      <c r="F479" s="7" t="str">
        <f t="shared" si="15"/>
        <v>20281730747000300000269</v>
      </c>
      <c r="G479" s="5">
        <v>75487396908604</v>
      </c>
      <c r="H479" s="1">
        <v>80</v>
      </c>
      <c r="I479" s="1">
        <v>20281730747</v>
      </c>
      <c r="J479" s="1" t="s">
        <v>223</v>
      </c>
      <c r="K479" s="1">
        <v>1</v>
      </c>
      <c r="L479" s="1" t="s">
        <v>168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907000</v>
      </c>
    </row>
    <row r="480" spans="1:18" x14ac:dyDescent="0.25">
      <c r="A480" s="1">
        <v>45988</v>
      </c>
      <c r="B480" s="1">
        <v>11</v>
      </c>
      <c r="C480" s="1">
        <v>3</v>
      </c>
      <c r="D480" s="1">
        <v>270</v>
      </c>
      <c r="E480" s="7" t="str">
        <f t="shared" si="14"/>
        <v>000300000270</v>
      </c>
      <c r="F480" s="7" t="str">
        <f t="shared" si="15"/>
        <v>20281730747000300000270</v>
      </c>
      <c r="G480" s="5">
        <v>75487397435122</v>
      </c>
      <c r="H480" s="1">
        <v>80</v>
      </c>
      <c r="I480" s="1">
        <v>20281730747</v>
      </c>
      <c r="J480" s="1" t="s">
        <v>223</v>
      </c>
      <c r="K480" s="1">
        <v>1</v>
      </c>
      <c r="L480" s="1" t="s">
        <v>168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610800</v>
      </c>
    </row>
    <row r="481" spans="1:18" x14ac:dyDescent="0.25">
      <c r="A481" s="1">
        <v>45989</v>
      </c>
      <c r="B481" s="1">
        <v>1</v>
      </c>
      <c r="C481" s="1">
        <v>87</v>
      </c>
      <c r="D481" s="1">
        <v>5896</v>
      </c>
      <c r="E481" s="7" t="str">
        <f t="shared" si="14"/>
        <v>008700005896</v>
      </c>
      <c r="F481" s="7" t="str">
        <f t="shared" si="15"/>
        <v>30529057594008700005896</v>
      </c>
      <c r="G481" s="5">
        <v>75484558175880</v>
      </c>
      <c r="H481" s="1">
        <v>80</v>
      </c>
      <c r="I481" s="1">
        <v>30529057594</v>
      </c>
      <c r="J481" s="1" t="s">
        <v>934</v>
      </c>
      <c r="K481" s="1">
        <v>1</v>
      </c>
      <c r="L481" s="1" t="s">
        <v>168</v>
      </c>
      <c r="M481" s="1">
        <v>165288.43</v>
      </c>
      <c r="N481" s="1">
        <v>0</v>
      </c>
      <c r="O481" s="1">
        <v>0</v>
      </c>
      <c r="P481" s="1">
        <v>0</v>
      </c>
      <c r="Q481" s="1">
        <v>34710.57</v>
      </c>
      <c r="R481" s="1">
        <v>199999</v>
      </c>
    </row>
    <row r="482" spans="1:18" x14ac:dyDescent="0.25">
      <c r="A482" s="1">
        <v>45989</v>
      </c>
      <c r="B482" s="1">
        <v>1</v>
      </c>
      <c r="C482" s="1">
        <v>15</v>
      </c>
      <c r="D482" s="1">
        <v>819</v>
      </c>
      <c r="E482" s="7" t="str">
        <f t="shared" si="14"/>
        <v>001500000819</v>
      </c>
      <c r="F482" s="7" t="str">
        <f t="shared" si="15"/>
        <v>30518750409001500000819</v>
      </c>
      <c r="G482" s="5">
        <v>75489655080112</v>
      </c>
      <c r="H482" s="1">
        <v>80</v>
      </c>
      <c r="I482" s="1">
        <v>30518750409</v>
      </c>
      <c r="J482" s="1" t="s">
        <v>935</v>
      </c>
      <c r="K482" s="1">
        <v>1</v>
      </c>
      <c r="L482" s="1" t="s">
        <v>168</v>
      </c>
      <c r="M482" s="1">
        <v>54545.45</v>
      </c>
      <c r="N482" s="1">
        <v>0</v>
      </c>
      <c r="O482" s="1">
        <v>0</v>
      </c>
      <c r="P482" s="1">
        <v>0</v>
      </c>
      <c r="Q482" s="1">
        <v>11454.55</v>
      </c>
      <c r="R482" s="1">
        <v>66000</v>
      </c>
    </row>
    <row r="483" spans="1:18" x14ac:dyDescent="0.25">
      <c r="A483" s="1">
        <v>45989</v>
      </c>
      <c r="B483" s="1">
        <v>1</v>
      </c>
      <c r="C483" s="1">
        <v>5</v>
      </c>
      <c r="D483" s="1">
        <v>594</v>
      </c>
      <c r="E483" s="7" t="str">
        <f t="shared" si="14"/>
        <v>000500000594</v>
      </c>
      <c r="F483" s="7" t="str">
        <f t="shared" si="15"/>
        <v>27119214101000500000594</v>
      </c>
      <c r="G483" s="5">
        <v>75481578623782</v>
      </c>
      <c r="H483" s="1">
        <v>80</v>
      </c>
      <c r="I483" s="1">
        <v>27119214101</v>
      </c>
      <c r="J483" s="1" t="s">
        <v>932</v>
      </c>
      <c r="K483" s="1">
        <v>1</v>
      </c>
      <c r="L483" s="1" t="s">
        <v>168</v>
      </c>
      <c r="M483" s="1">
        <v>15289.26</v>
      </c>
      <c r="N483" s="1">
        <v>0</v>
      </c>
      <c r="O483" s="1">
        <v>0</v>
      </c>
      <c r="P483" s="1">
        <v>0</v>
      </c>
      <c r="Q483" s="1">
        <v>3210.74</v>
      </c>
      <c r="R483" s="1">
        <v>18500</v>
      </c>
    </row>
    <row r="484" spans="1:18" x14ac:dyDescent="0.25">
      <c r="A484" s="1">
        <v>45989</v>
      </c>
      <c r="B484" s="1">
        <v>1</v>
      </c>
      <c r="C484" s="1">
        <v>6</v>
      </c>
      <c r="D484" s="1">
        <v>28377</v>
      </c>
      <c r="E484" s="7" t="str">
        <f t="shared" si="14"/>
        <v>000600028377</v>
      </c>
      <c r="F484" s="7" t="str">
        <f t="shared" si="15"/>
        <v>20188232990000600028377</v>
      </c>
      <c r="G484" s="5">
        <v>75480575662119</v>
      </c>
      <c r="H484" s="1">
        <v>80</v>
      </c>
      <c r="I484" s="1">
        <v>20188232990</v>
      </c>
      <c r="J484" s="1" t="s">
        <v>55</v>
      </c>
      <c r="K484" s="1">
        <v>1</v>
      </c>
      <c r="L484" s="1" t="s">
        <v>168</v>
      </c>
      <c r="M484" s="1">
        <v>98301.55</v>
      </c>
      <c r="N484" s="1">
        <v>0</v>
      </c>
      <c r="O484" s="1">
        <v>0</v>
      </c>
      <c r="P484" s="1">
        <v>0</v>
      </c>
      <c r="Q484" s="1">
        <v>20643.330000000002</v>
      </c>
      <c r="R484" s="1">
        <v>118944.88</v>
      </c>
    </row>
    <row r="485" spans="1:18" x14ac:dyDescent="0.25">
      <c r="A485" s="1">
        <v>45989</v>
      </c>
      <c r="B485" s="1">
        <v>1</v>
      </c>
      <c r="C485" s="1">
        <v>4</v>
      </c>
      <c r="D485" s="1">
        <v>24424</v>
      </c>
      <c r="E485" s="7" t="str">
        <f t="shared" si="14"/>
        <v>000400024424</v>
      </c>
      <c r="F485" s="7" t="str">
        <f t="shared" si="15"/>
        <v>20128307746000400024424</v>
      </c>
      <c r="G485" s="5">
        <v>75486552333102</v>
      </c>
      <c r="H485" s="1">
        <v>80</v>
      </c>
      <c r="I485" s="1">
        <v>20128307746</v>
      </c>
      <c r="J485" s="1" t="s">
        <v>169</v>
      </c>
      <c r="K485" s="1">
        <v>1</v>
      </c>
      <c r="L485" s="1" t="s">
        <v>168</v>
      </c>
      <c r="M485" s="1">
        <v>44253</v>
      </c>
      <c r="N485" s="1">
        <v>0</v>
      </c>
      <c r="O485" s="1">
        <v>0</v>
      </c>
      <c r="P485" s="1">
        <v>0</v>
      </c>
      <c r="Q485" s="1">
        <v>9293.1299999999992</v>
      </c>
      <c r="R485" s="1">
        <v>53546.13</v>
      </c>
    </row>
    <row r="486" spans="1:18" x14ac:dyDescent="0.25">
      <c r="A486" s="1">
        <v>45989</v>
      </c>
      <c r="B486" s="1">
        <v>1</v>
      </c>
      <c r="C486" s="1">
        <v>2</v>
      </c>
      <c r="D486" s="1">
        <v>15831</v>
      </c>
      <c r="E486" s="7" t="str">
        <f t="shared" si="14"/>
        <v>000200015831</v>
      </c>
      <c r="F486" s="7" t="str">
        <f t="shared" si="15"/>
        <v>30715452177000200015831</v>
      </c>
      <c r="G486" s="5">
        <v>75487542679298</v>
      </c>
      <c r="H486" s="1">
        <v>80</v>
      </c>
      <c r="I486" s="1">
        <v>30715452177</v>
      </c>
      <c r="J486" s="1" t="s">
        <v>936</v>
      </c>
      <c r="K486" s="1">
        <v>1</v>
      </c>
      <c r="L486" s="1" t="s">
        <v>168</v>
      </c>
      <c r="M486" s="1">
        <v>14608.32</v>
      </c>
      <c r="N486" s="1">
        <v>0</v>
      </c>
      <c r="O486" s="1">
        <v>0</v>
      </c>
      <c r="P486" s="1">
        <v>0</v>
      </c>
      <c r="Q486" s="1">
        <v>3067.75</v>
      </c>
      <c r="R486" s="1">
        <v>17676.07</v>
      </c>
    </row>
    <row r="487" spans="1:18" x14ac:dyDescent="0.25">
      <c r="A487" s="1">
        <v>45989</v>
      </c>
      <c r="B487" s="1">
        <v>1</v>
      </c>
      <c r="C487" s="1">
        <v>3</v>
      </c>
      <c r="D487" s="1">
        <v>9500</v>
      </c>
      <c r="E487" s="7" t="str">
        <f t="shared" si="14"/>
        <v>000300009500</v>
      </c>
      <c r="F487" s="7" t="str">
        <f t="shared" si="15"/>
        <v>20318512265000300009500</v>
      </c>
      <c r="G487" s="5">
        <v>75485616226370</v>
      </c>
      <c r="H487" s="1">
        <v>80</v>
      </c>
      <c r="I487" s="1">
        <v>20318512265</v>
      </c>
      <c r="J487" s="1" t="s">
        <v>200</v>
      </c>
      <c r="K487" s="1">
        <v>1</v>
      </c>
      <c r="L487" s="1" t="s">
        <v>168</v>
      </c>
      <c r="M487" s="1">
        <v>66285</v>
      </c>
      <c r="N487" s="1">
        <v>0</v>
      </c>
      <c r="O487" s="1">
        <v>0</v>
      </c>
      <c r="P487" s="1">
        <v>0</v>
      </c>
      <c r="Q487" s="1">
        <v>13919.85</v>
      </c>
      <c r="R487" s="1">
        <v>80204.850000000006</v>
      </c>
    </row>
    <row r="488" spans="1:18" x14ac:dyDescent="0.25">
      <c r="A488" s="1">
        <v>45989</v>
      </c>
      <c r="B488" s="1">
        <v>1</v>
      </c>
      <c r="C488" s="1">
        <v>6</v>
      </c>
      <c r="D488" s="1">
        <v>367</v>
      </c>
      <c r="E488" s="7" t="str">
        <f t="shared" si="14"/>
        <v>000600000367</v>
      </c>
      <c r="F488" s="7" t="str">
        <f t="shared" si="15"/>
        <v>33709919089000600000367</v>
      </c>
      <c r="G488" s="5">
        <v>75489536489166</v>
      </c>
      <c r="H488" s="1">
        <v>80</v>
      </c>
      <c r="I488" s="1">
        <v>33709919089</v>
      </c>
      <c r="J488" s="1" t="s">
        <v>937</v>
      </c>
      <c r="K488" s="1">
        <v>1</v>
      </c>
      <c r="L488" s="1" t="s">
        <v>168</v>
      </c>
      <c r="M488" s="1">
        <v>86051.24</v>
      </c>
      <c r="N488" s="1">
        <v>0</v>
      </c>
      <c r="O488" s="1">
        <v>0</v>
      </c>
      <c r="P488" s="1">
        <v>0</v>
      </c>
      <c r="Q488" s="1">
        <v>18070.759999999998</v>
      </c>
      <c r="R488" s="1">
        <v>104122</v>
      </c>
    </row>
    <row r="489" spans="1:18" x14ac:dyDescent="0.25">
      <c r="A489" s="1">
        <v>45989</v>
      </c>
      <c r="B489" s="1">
        <v>1</v>
      </c>
      <c r="C489" s="1">
        <v>4</v>
      </c>
      <c r="D489" s="1">
        <v>24426</v>
      </c>
      <c r="E489" s="7" t="str">
        <f t="shared" si="14"/>
        <v>000400024426</v>
      </c>
      <c r="F489" s="7" t="str">
        <f t="shared" si="15"/>
        <v>20128307746000400024426</v>
      </c>
      <c r="G489" s="5">
        <v>75486552979186</v>
      </c>
      <c r="H489" s="1">
        <v>80</v>
      </c>
      <c r="I489" s="1">
        <v>20128307746</v>
      </c>
      <c r="J489" s="1" t="s">
        <v>169</v>
      </c>
      <c r="K489" s="1">
        <v>1</v>
      </c>
      <c r="L489" s="1" t="s">
        <v>168</v>
      </c>
      <c r="M489" s="1">
        <v>8302.5</v>
      </c>
      <c r="N489" s="1">
        <v>0</v>
      </c>
      <c r="O489" s="1">
        <v>0</v>
      </c>
      <c r="P489" s="1">
        <v>0</v>
      </c>
      <c r="Q489" s="1">
        <v>1743.53</v>
      </c>
      <c r="R489" s="1">
        <v>10046.030000000001</v>
      </c>
    </row>
    <row r="490" spans="1:18" x14ac:dyDescent="0.25">
      <c r="A490" s="1">
        <v>45989</v>
      </c>
      <c r="B490" s="1">
        <v>1</v>
      </c>
      <c r="C490" s="1">
        <v>10</v>
      </c>
      <c r="D490" s="1">
        <v>12363</v>
      </c>
      <c r="E490" s="7" t="str">
        <f t="shared" si="14"/>
        <v>001000012363</v>
      </c>
      <c r="F490" s="7" t="str">
        <f t="shared" si="15"/>
        <v>30502036269001000012363</v>
      </c>
      <c r="G490" s="5">
        <v>75489599942262</v>
      </c>
      <c r="H490" s="1">
        <v>80</v>
      </c>
      <c r="I490" s="1">
        <v>30502036269</v>
      </c>
      <c r="J490" s="1" t="s">
        <v>185</v>
      </c>
      <c r="K490" s="1">
        <v>1</v>
      </c>
      <c r="L490" s="1" t="s">
        <v>168</v>
      </c>
      <c r="M490" s="1">
        <v>193555.59</v>
      </c>
      <c r="N490" s="1">
        <v>0</v>
      </c>
      <c r="O490" s="1">
        <v>0</v>
      </c>
      <c r="P490" s="1">
        <v>0</v>
      </c>
      <c r="Q490" s="1">
        <v>40646.68</v>
      </c>
      <c r="R490" s="1">
        <v>234202.27</v>
      </c>
    </row>
    <row r="491" spans="1:18" x14ac:dyDescent="0.25">
      <c r="A491" s="1">
        <v>45989</v>
      </c>
      <c r="B491" s="1">
        <v>1</v>
      </c>
      <c r="C491" s="1">
        <v>3</v>
      </c>
      <c r="D491" s="1">
        <v>15110</v>
      </c>
      <c r="E491" s="7" t="str">
        <f t="shared" si="14"/>
        <v>000300015110</v>
      </c>
      <c r="F491" s="7" t="str">
        <f t="shared" si="15"/>
        <v>30560464149000300015110</v>
      </c>
      <c r="G491" s="5">
        <v>75489593260538</v>
      </c>
      <c r="H491" s="1">
        <v>80</v>
      </c>
      <c r="I491" s="1">
        <v>30560464149</v>
      </c>
      <c r="J491" s="1" t="s">
        <v>453</v>
      </c>
      <c r="K491" s="1">
        <v>1</v>
      </c>
      <c r="L491" s="1" t="s">
        <v>168</v>
      </c>
      <c r="M491" s="1">
        <v>1048902.46</v>
      </c>
      <c r="N491" s="1">
        <v>0</v>
      </c>
      <c r="O491" s="1">
        <v>0</v>
      </c>
      <c r="P491" s="1">
        <v>0</v>
      </c>
      <c r="Q491" s="1">
        <v>220269.52</v>
      </c>
      <c r="R491" s="1">
        <v>1269171.98</v>
      </c>
    </row>
    <row r="492" spans="1:18" x14ac:dyDescent="0.25">
      <c r="A492" s="1">
        <v>45989</v>
      </c>
      <c r="B492" s="1">
        <v>1</v>
      </c>
      <c r="C492" s="1">
        <v>10</v>
      </c>
      <c r="D492" s="1">
        <v>12364</v>
      </c>
      <c r="E492" s="7" t="str">
        <f t="shared" si="14"/>
        <v>001000012364</v>
      </c>
      <c r="F492" s="7" t="str">
        <f t="shared" si="15"/>
        <v>30502036269001000012364</v>
      </c>
      <c r="G492" s="5">
        <v>75489600103448</v>
      </c>
      <c r="H492" s="1">
        <v>80</v>
      </c>
      <c r="I492" s="1">
        <v>30502036269</v>
      </c>
      <c r="J492" s="1" t="s">
        <v>185</v>
      </c>
      <c r="K492" s="1">
        <v>1</v>
      </c>
      <c r="L492" s="1" t="s">
        <v>168</v>
      </c>
      <c r="M492" s="1">
        <v>2904744.48</v>
      </c>
      <c r="N492" s="1">
        <v>0</v>
      </c>
      <c r="O492" s="1">
        <v>0</v>
      </c>
      <c r="P492" s="1">
        <v>0</v>
      </c>
      <c r="Q492" s="1">
        <v>609996.34</v>
      </c>
      <c r="R492" s="1">
        <v>3514740.82</v>
      </c>
    </row>
    <row r="493" spans="1:18" x14ac:dyDescent="0.25">
      <c r="A493" s="1">
        <v>45989</v>
      </c>
      <c r="B493" s="1">
        <v>1</v>
      </c>
      <c r="C493" s="1">
        <v>10</v>
      </c>
      <c r="D493" s="1">
        <v>12365</v>
      </c>
      <c r="E493" s="7" t="str">
        <f t="shared" si="14"/>
        <v>001000012365</v>
      </c>
      <c r="F493" s="7" t="str">
        <f t="shared" si="15"/>
        <v>30502036269001000012365</v>
      </c>
      <c r="G493" s="5">
        <v>75489600418926</v>
      </c>
      <c r="H493" s="1">
        <v>80</v>
      </c>
      <c r="I493" s="1">
        <v>30502036269</v>
      </c>
      <c r="J493" s="1" t="s">
        <v>185</v>
      </c>
      <c r="K493" s="1">
        <v>1</v>
      </c>
      <c r="L493" s="1" t="s">
        <v>168</v>
      </c>
      <c r="M493" s="1">
        <v>636311.47</v>
      </c>
      <c r="N493" s="1">
        <v>0</v>
      </c>
      <c r="O493" s="1">
        <v>0</v>
      </c>
      <c r="P493" s="1">
        <v>0</v>
      </c>
      <c r="Q493" s="1">
        <v>133625.41</v>
      </c>
      <c r="R493" s="1">
        <v>769936.88</v>
      </c>
    </row>
    <row r="494" spans="1:18" x14ac:dyDescent="0.25">
      <c r="A494" s="1">
        <v>45989</v>
      </c>
      <c r="B494" s="1">
        <v>1</v>
      </c>
      <c r="C494" s="1">
        <v>11</v>
      </c>
      <c r="D494" s="1">
        <v>148</v>
      </c>
      <c r="E494" s="7" t="str">
        <f t="shared" si="14"/>
        <v>001100000148</v>
      </c>
      <c r="F494" s="7" t="str">
        <f t="shared" si="15"/>
        <v>20285650942001100000148</v>
      </c>
      <c r="G494" s="5">
        <v>75482544507981</v>
      </c>
      <c r="H494" s="1">
        <v>80</v>
      </c>
      <c r="I494" s="1">
        <v>20285650942</v>
      </c>
      <c r="J494" s="1" t="s">
        <v>918</v>
      </c>
      <c r="K494" s="1">
        <v>1</v>
      </c>
      <c r="L494" s="1" t="s">
        <v>168</v>
      </c>
      <c r="M494" s="1">
        <v>5372</v>
      </c>
      <c r="N494" s="1">
        <v>0</v>
      </c>
      <c r="O494" s="1">
        <v>0</v>
      </c>
      <c r="P494" s="1">
        <v>0</v>
      </c>
      <c r="Q494" s="1">
        <v>1128.1199999999999</v>
      </c>
      <c r="R494" s="1">
        <v>6500.12</v>
      </c>
    </row>
    <row r="495" spans="1:18" x14ac:dyDescent="0.25">
      <c r="A495" s="1">
        <v>45989</v>
      </c>
      <c r="B495" s="1">
        <v>1</v>
      </c>
      <c r="C495" s="1">
        <v>10</v>
      </c>
      <c r="D495" s="1">
        <v>16871</v>
      </c>
      <c r="E495" s="7" t="str">
        <f t="shared" si="14"/>
        <v>001000016871</v>
      </c>
      <c r="F495" s="7" t="str">
        <f t="shared" si="15"/>
        <v>30682681108001000016871</v>
      </c>
      <c r="G495" s="5">
        <v>75488634575173</v>
      </c>
      <c r="H495" s="1">
        <v>80</v>
      </c>
      <c r="I495" s="1">
        <v>30682681108</v>
      </c>
      <c r="J495" s="1" t="s">
        <v>205</v>
      </c>
      <c r="K495" s="1">
        <v>1450</v>
      </c>
      <c r="L495" s="1" t="s">
        <v>206</v>
      </c>
      <c r="M495" s="1">
        <v>514.4</v>
      </c>
      <c r="N495" s="1">
        <v>0</v>
      </c>
      <c r="O495" s="1">
        <v>0</v>
      </c>
      <c r="P495" s="1">
        <v>0</v>
      </c>
      <c r="Q495" s="1">
        <v>108.02</v>
      </c>
      <c r="R495" s="1">
        <v>622.41999999999996</v>
      </c>
    </row>
    <row r="496" spans="1:18" x14ac:dyDescent="0.25">
      <c r="A496" s="1">
        <v>45989</v>
      </c>
      <c r="B496" s="1">
        <v>1</v>
      </c>
      <c r="C496" s="1">
        <v>2</v>
      </c>
      <c r="D496" s="1">
        <v>10483</v>
      </c>
      <c r="E496" s="7" t="str">
        <f t="shared" si="14"/>
        <v>000200010483</v>
      </c>
      <c r="F496" s="7" t="str">
        <f t="shared" si="15"/>
        <v>30642674567000200010483</v>
      </c>
      <c r="G496" s="5">
        <v>75487959940477</v>
      </c>
      <c r="H496" s="1">
        <v>80</v>
      </c>
      <c r="I496" s="1">
        <v>30642674567</v>
      </c>
      <c r="J496" s="1" t="s">
        <v>184</v>
      </c>
      <c r="K496" s="1">
        <v>1</v>
      </c>
      <c r="L496" s="1" t="s">
        <v>168</v>
      </c>
      <c r="M496" s="1">
        <v>25395.5</v>
      </c>
      <c r="N496" s="1">
        <v>0</v>
      </c>
      <c r="O496" s="1">
        <v>0</v>
      </c>
      <c r="P496" s="1">
        <v>0</v>
      </c>
      <c r="Q496" s="1">
        <v>5333.06</v>
      </c>
      <c r="R496" s="1">
        <v>30728.560000000001</v>
      </c>
    </row>
    <row r="497" spans="1:18" x14ac:dyDescent="0.25">
      <c r="A497" s="1">
        <v>45989</v>
      </c>
      <c r="B497" s="1">
        <v>1</v>
      </c>
      <c r="C497" s="1">
        <v>2</v>
      </c>
      <c r="D497" s="1">
        <v>10484</v>
      </c>
      <c r="E497" s="7" t="str">
        <f t="shared" si="14"/>
        <v>000200010484</v>
      </c>
      <c r="F497" s="7" t="str">
        <f t="shared" si="15"/>
        <v>30642674567000200010484</v>
      </c>
      <c r="G497" s="5">
        <v>75487960840942</v>
      </c>
      <c r="H497" s="1">
        <v>80</v>
      </c>
      <c r="I497" s="1">
        <v>30642674567</v>
      </c>
      <c r="J497" s="1" t="s">
        <v>184</v>
      </c>
      <c r="K497" s="1">
        <v>1</v>
      </c>
      <c r="L497" s="1" t="s">
        <v>168</v>
      </c>
      <c r="M497" s="1">
        <v>77663.33</v>
      </c>
      <c r="N497" s="1">
        <v>0</v>
      </c>
      <c r="O497" s="1">
        <v>0</v>
      </c>
      <c r="P497" s="1">
        <v>0</v>
      </c>
      <c r="Q497" s="1">
        <v>16309.3</v>
      </c>
      <c r="R497" s="1">
        <v>93972.63</v>
      </c>
    </row>
    <row r="498" spans="1:18" x14ac:dyDescent="0.25">
      <c r="A498" s="1">
        <v>45989</v>
      </c>
      <c r="B498" s="1">
        <v>1</v>
      </c>
      <c r="C498" s="1">
        <v>32</v>
      </c>
      <c r="D498" s="1">
        <v>256098</v>
      </c>
      <c r="E498" s="7" t="str">
        <f t="shared" si="14"/>
        <v>003200256098</v>
      </c>
      <c r="F498" s="7" t="str">
        <f t="shared" si="15"/>
        <v>30621181838003200256098</v>
      </c>
      <c r="G498" s="5">
        <v>75488624722886</v>
      </c>
      <c r="H498" s="1">
        <v>80</v>
      </c>
      <c r="I498" s="1">
        <v>30621181838</v>
      </c>
      <c r="J498" s="1" t="s">
        <v>180</v>
      </c>
      <c r="K498" s="1">
        <v>1</v>
      </c>
      <c r="L498" s="1" t="s">
        <v>168</v>
      </c>
      <c r="M498" s="1">
        <v>10874339.67</v>
      </c>
      <c r="P498" s="1">
        <v>135929.24</v>
      </c>
      <c r="Q498" s="1">
        <v>2283611.33</v>
      </c>
      <c r="R498" s="1">
        <v>13293880.130000001</v>
      </c>
    </row>
    <row r="499" spans="1:18" x14ac:dyDescent="0.25">
      <c r="A499" s="1">
        <v>45989</v>
      </c>
      <c r="B499" s="1">
        <v>1</v>
      </c>
      <c r="C499" s="1">
        <v>32</v>
      </c>
      <c r="D499" s="1">
        <v>256102</v>
      </c>
      <c r="E499" s="7" t="str">
        <f t="shared" si="14"/>
        <v>003200256102</v>
      </c>
      <c r="F499" s="7" t="str">
        <f t="shared" si="15"/>
        <v>30621181838003200256102</v>
      </c>
      <c r="G499" s="5">
        <v>75488624863802</v>
      </c>
      <c r="H499" s="1">
        <v>80</v>
      </c>
      <c r="I499" s="1">
        <v>30621181838</v>
      </c>
      <c r="J499" s="1" t="s">
        <v>180</v>
      </c>
      <c r="K499" s="1">
        <v>1</v>
      </c>
      <c r="L499" s="1" t="s">
        <v>168</v>
      </c>
      <c r="M499" s="1">
        <v>80270.52</v>
      </c>
      <c r="P499" s="1">
        <v>0</v>
      </c>
      <c r="Q499" s="1">
        <v>16856.810000000001</v>
      </c>
      <c r="R499" s="1">
        <v>97127.31</v>
      </c>
    </row>
    <row r="500" spans="1:18" x14ac:dyDescent="0.25">
      <c r="A500" s="1">
        <v>45989</v>
      </c>
      <c r="B500" s="1">
        <v>1</v>
      </c>
      <c r="C500" s="1">
        <v>32</v>
      </c>
      <c r="D500" s="1">
        <v>255904</v>
      </c>
      <c r="E500" s="7" t="str">
        <f t="shared" si="14"/>
        <v>003200255904</v>
      </c>
      <c r="F500" s="7" t="str">
        <f t="shared" si="15"/>
        <v>30621181838003200255904</v>
      </c>
      <c r="G500" s="5">
        <v>75488591706450</v>
      </c>
      <c r="H500" s="1">
        <v>80</v>
      </c>
      <c r="I500" s="1">
        <v>30621181838</v>
      </c>
      <c r="J500" s="1" t="s">
        <v>180</v>
      </c>
      <c r="K500" s="1">
        <v>1</v>
      </c>
      <c r="L500" s="1" t="s">
        <v>168</v>
      </c>
      <c r="M500" s="1">
        <v>1171571.8999999999</v>
      </c>
      <c r="P500" s="1">
        <v>14644.66</v>
      </c>
      <c r="Q500" s="1">
        <v>246030.1</v>
      </c>
      <c r="R500" s="1">
        <v>1432246.67</v>
      </c>
    </row>
    <row r="501" spans="1:18" x14ac:dyDescent="0.25">
      <c r="A501" s="1">
        <v>45989</v>
      </c>
      <c r="B501" s="1">
        <v>1</v>
      </c>
      <c r="C501" s="1">
        <v>32</v>
      </c>
      <c r="D501" s="1">
        <v>255905</v>
      </c>
      <c r="E501" s="7" t="str">
        <f t="shared" si="14"/>
        <v>003200255905</v>
      </c>
      <c r="F501" s="7" t="str">
        <f t="shared" si="15"/>
        <v>30621181838003200255905</v>
      </c>
      <c r="G501" s="5">
        <v>75488591747500</v>
      </c>
      <c r="H501" s="1">
        <v>80</v>
      </c>
      <c r="I501" s="1">
        <v>30621181838</v>
      </c>
      <c r="J501" s="1" t="s">
        <v>180</v>
      </c>
      <c r="K501" s="1">
        <v>1</v>
      </c>
      <c r="L501" s="1" t="s">
        <v>168</v>
      </c>
      <c r="M501" s="1">
        <v>50068.57</v>
      </c>
      <c r="P501" s="1">
        <v>0</v>
      </c>
      <c r="Q501" s="1">
        <v>10514.4</v>
      </c>
      <c r="R501" s="1">
        <v>60582.97</v>
      </c>
    </row>
    <row r="502" spans="1:18" x14ac:dyDescent="0.25">
      <c r="A502" s="1">
        <v>45989</v>
      </c>
      <c r="B502" s="1">
        <v>1</v>
      </c>
      <c r="C502" s="1">
        <v>32</v>
      </c>
      <c r="D502" s="1">
        <v>255906</v>
      </c>
      <c r="E502" s="7" t="str">
        <f t="shared" si="14"/>
        <v>003200255906</v>
      </c>
      <c r="F502" s="7" t="str">
        <f t="shared" si="15"/>
        <v>30621181838003200255906</v>
      </c>
      <c r="G502" s="5">
        <v>75488591786098</v>
      </c>
      <c r="H502" s="1">
        <v>80</v>
      </c>
      <c r="I502" s="1">
        <v>30621181838</v>
      </c>
      <c r="J502" s="1" t="s">
        <v>180</v>
      </c>
      <c r="K502" s="1">
        <v>1</v>
      </c>
      <c r="L502" s="1" t="s">
        <v>168</v>
      </c>
      <c r="M502" s="1">
        <v>199551</v>
      </c>
      <c r="P502" s="1">
        <v>0</v>
      </c>
      <c r="Q502" s="1">
        <v>41905.71</v>
      </c>
      <c r="R502" s="1">
        <v>241456.68</v>
      </c>
    </row>
    <row r="503" spans="1:18" x14ac:dyDescent="0.25">
      <c r="A503" s="1">
        <v>45989</v>
      </c>
      <c r="B503" s="1">
        <v>1</v>
      </c>
      <c r="C503" s="1">
        <v>57</v>
      </c>
      <c r="D503" s="1">
        <v>88933</v>
      </c>
      <c r="E503" s="7" t="str">
        <f t="shared" si="14"/>
        <v>005700088933</v>
      </c>
      <c r="F503" s="7" t="str">
        <f t="shared" si="15"/>
        <v>30500719687005700088933</v>
      </c>
      <c r="G503" s="5">
        <v>75487641882115</v>
      </c>
      <c r="H503" s="1">
        <v>80</v>
      </c>
      <c r="I503" s="1">
        <v>30500719687</v>
      </c>
      <c r="J503" s="1" t="s">
        <v>224</v>
      </c>
      <c r="K503" s="1">
        <v>1</v>
      </c>
      <c r="L503" s="1" t="s">
        <v>168</v>
      </c>
      <c r="M503" s="1">
        <v>53490.48</v>
      </c>
      <c r="N503" s="1">
        <v>0</v>
      </c>
      <c r="O503" s="1">
        <v>0</v>
      </c>
      <c r="P503" s="1">
        <v>668.63</v>
      </c>
      <c r="Q503" s="1">
        <v>11233</v>
      </c>
      <c r="R503" s="1">
        <v>65392.13</v>
      </c>
    </row>
    <row r="504" spans="1:18" x14ac:dyDescent="0.25">
      <c r="A504" s="1">
        <v>45989</v>
      </c>
      <c r="B504" s="1">
        <v>1</v>
      </c>
      <c r="C504" s="1">
        <v>32</v>
      </c>
      <c r="D504" s="1">
        <v>255907</v>
      </c>
      <c r="E504" s="7" t="str">
        <f t="shared" si="14"/>
        <v>003200255907</v>
      </c>
      <c r="F504" s="7" t="str">
        <f t="shared" si="15"/>
        <v>30621181838003200255907</v>
      </c>
      <c r="G504" s="5">
        <v>75488591822019</v>
      </c>
      <c r="H504" s="1">
        <v>80</v>
      </c>
      <c r="I504" s="1">
        <v>30621181838</v>
      </c>
      <c r="J504" s="1" t="s">
        <v>180</v>
      </c>
      <c r="K504" s="1">
        <v>1</v>
      </c>
      <c r="L504" s="1" t="s">
        <v>168</v>
      </c>
      <c r="M504" s="1">
        <v>1536309.71</v>
      </c>
      <c r="P504" s="1">
        <v>19203.88</v>
      </c>
      <c r="Q504" s="1">
        <v>322625.03999999998</v>
      </c>
      <c r="R504" s="1">
        <v>1878138.61</v>
      </c>
    </row>
    <row r="505" spans="1:18" x14ac:dyDescent="0.25">
      <c r="A505" s="1">
        <v>45989</v>
      </c>
      <c r="B505" s="1">
        <v>1</v>
      </c>
      <c r="C505" s="1">
        <v>32</v>
      </c>
      <c r="D505" s="1">
        <v>255908</v>
      </c>
      <c r="E505" s="7" t="str">
        <f t="shared" si="14"/>
        <v>003200255908</v>
      </c>
      <c r="F505" s="7" t="str">
        <f t="shared" si="15"/>
        <v>30621181838003200255908</v>
      </c>
      <c r="G505" s="5">
        <v>75488591860386</v>
      </c>
      <c r="H505" s="1">
        <v>80</v>
      </c>
      <c r="I505" s="1">
        <v>30621181838</v>
      </c>
      <c r="J505" s="1" t="s">
        <v>180</v>
      </c>
      <c r="K505" s="1">
        <v>1</v>
      </c>
      <c r="L505" s="1" t="s">
        <v>168</v>
      </c>
      <c r="M505" s="1">
        <v>330622.28999999998</v>
      </c>
      <c r="P505" s="1">
        <v>0</v>
      </c>
      <c r="Q505" s="1">
        <v>69430.679999999993</v>
      </c>
      <c r="R505" s="1">
        <v>400052.94</v>
      </c>
    </row>
    <row r="506" spans="1:18" x14ac:dyDescent="0.25">
      <c r="A506" s="1">
        <v>45989</v>
      </c>
      <c r="B506" s="1">
        <v>1</v>
      </c>
      <c r="C506" s="1">
        <v>32</v>
      </c>
      <c r="D506" s="1">
        <v>256136</v>
      </c>
      <c r="E506" s="7" t="str">
        <f t="shared" si="14"/>
        <v>003200256136</v>
      </c>
      <c r="F506" s="7" t="str">
        <f t="shared" si="15"/>
        <v>30621181838003200256136</v>
      </c>
      <c r="G506" s="5">
        <v>75488632277436</v>
      </c>
      <c r="H506" s="1">
        <v>80</v>
      </c>
      <c r="I506" s="1">
        <v>30621181838</v>
      </c>
      <c r="J506" s="1" t="s">
        <v>180</v>
      </c>
      <c r="K506" s="1">
        <v>1</v>
      </c>
      <c r="L506" s="1" t="s">
        <v>168</v>
      </c>
      <c r="M506" s="1">
        <v>930014.62</v>
      </c>
      <c r="P506" s="1">
        <v>11625.18</v>
      </c>
      <c r="Q506" s="1">
        <v>195303.07</v>
      </c>
      <c r="R506" s="1">
        <v>1136942.8700000001</v>
      </c>
    </row>
    <row r="507" spans="1:18" x14ac:dyDescent="0.25">
      <c r="A507" s="1">
        <v>45989</v>
      </c>
      <c r="B507" s="1">
        <v>1</v>
      </c>
      <c r="C507" s="1">
        <v>32</v>
      </c>
      <c r="D507" s="1">
        <v>256176</v>
      </c>
      <c r="E507" s="7" t="str">
        <f t="shared" si="14"/>
        <v>003200256176</v>
      </c>
      <c r="F507" s="7" t="str">
        <f t="shared" si="15"/>
        <v>30621181838003200256176</v>
      </c>
      <c r="G507" s="5">
        <v>75488633592565</v>
      </c>
      <c r="H507" s="1">
        <v>80</v>
      </c>
      <c r="I507" s="1">
        <v>30621181838</v>
      </c>
      <c r="J507" s="1" t="s">
        <v>180</v>
      </c>
      <c r="K507" s="1">
        <v>1</v>
      </c>
      <c r="L507" s="1" t="s">
        <v>168</v>
      </c>
      <c r="M507" s="1">
        <v>700543.24</v>
      </c>
      <c r="P507" s="1">
        <v>0</v>
      </c>
      <c r="Q507" s="1">
        <v>147114.07999999999</v>
      </c>
      <c r="R507" s="1">
        <v>847657.3</v>
      </c>
    </row>
    <row r="508" spans="1:18" x14ac:dyDescent="0.25">
      <c r="A508" s="1">
        <v>45989</v>
      </c>
      <c r="B508" s="1">
        <v>1</v>
      </c>
      <c r="C508" s="1">
        <v>32</v>
      </c>
      <c r="D508" s="1">
        <v>256275</v>
      </c>
      <c r="E508" s="7" t="str">
        <f t="shared" si="14"/>
        <v>003200256275</v>
      </c>
      <c r="F508" s="7" t="str">
        <f t="shared" si="15"/>
        <v>30621181838003200256275</v>
      </c>
      <c r="G508" s="5">
        <v>75488640548851</v>
      </c>
      <c r="H508" s="1">
        <v>80</v>
      </c>
      <c r="I508" s="1">
        <v>30621181838</v>
      </c>
      <c r="J508" s="1" t="s">
        <v>180</v>
      </c>
      <c r="K508" s="1">
        <v>1</v>
      </c>
      <c r="L508" s="1" t="s">
        <v>168</v>
      </c>
      <c r="M508" s="1">
        <v>3073390.9</v>
      </c>
      <c r="P508" s="1">
        <v>38417.39</v>
      </c>
      <c r="Q508" s="1">
        <v>645412.09</v>
      </c>
      <c r="R508" s="1">
        <v>3757220.4</v>
      </c>
    </row>
    <row r="509" spans="1:18" x14ac:dyDescent="0.25">
      <c r="A509" s="1">
        <v>45989</v>
      </c>
      <c r="B509" s="1">
        <v>2</v>
      </c>
      <c r="C509" s="1">
        <v>32</v>
      </c>
      <c r="D509" s="1">
        <v>29340</v>
      </c>
      <c r="E509" s="7" t="str">
        <f t="shared" si="14"/>
        <v>003200029340</v>
      </c>
      <c r="F509" s="7" t="str">
        <f t="shared" si="15"/>
        <v>30621181838003200029340</v>
      </c>
      <c r="G509" s="5">
        <v>75488643271020</v>
      </c>
      <c r="H509" s="1">
        <v>80</v>
      </c>
      <c r="I509" s="1">
        <v>30621181838</v>
      </c>
      <c r="J509" s="1" t="s">
        <v>180</v>
      </c>
      <c r="K509" s="1">
        <v>1</v>
      </c>
      <c r="L509" s="1" t="s">
        <v>168</v>
      </c>
      <c r="M509" s="1">
        <v>2637584.2400000002</v>
      </c>
      <c r="P509" s="1">
        <v>0</v>
      </c>
      <c r="Q509" s="1">
        <v>553892.68999999994</v>
      </c>
      <c r="R509" s="1">
        <v>3191476.94</v>
      </c>
    </row>
    <row r="510" spans="1:18" x14ac:dyDescent="0.25">
      <c r="A510" s="1">
        <v>45989</v>
      </c>
      <c r="B510" s="1">
        <v>3</v>
      </c>
      <c r="C510" s="1">
        <v>3</v>
      </c>
      <c r="D510" s="1">
        <v>18</v>
      </c>
      <c r="E510" s="7" t="str">
        <f t="shared" si="14"/>
        <v>000300000018</v>
      </c>
      <c r="F510" s="7" t="str">
        <f t="shared" si="15"/>
        <v>30714587753000300000018</v>
      </c>
      <c r="G510" s="5">
        <v>75483560683209</v>
      </c>
      <c r="H510" s="1">
        <v>80</v>
      </c>
      <c r="I510" s="1">
        <v>30714587753</v>
      </c>
      <c r="J510" s="1" t="s">
        <v>808</v>
      </c>
      <c r="K510" s="1">
        <v>1</v>
      </c>
      <c r="L510" s="1" t="s">
        <v>168</v>
      </c>
      <c r="M510" s="1">
        <v>39979.29</v>
      </c>
      <c r="N510" s="1">
        <v>0</v>
      </c>
      <c r="O510" s="1">
        <v>0</v>
      </c>
      <c r="P510" s="1">
        <v>0</v>
      </c>
      <c r="Q510" s="1">
        <v>8395.65</v>
      </c>
      <c r="R510" s="1">
        <v>48374.9</v>
      </c>
    </row>
    <row r="511" spans="1:18" x14ac:dyDescent="0.25">
      <c r="A511" s="1">
        <v>45989</v>
      </c>
      <c r="B511" s="1">
        <v>3</v>
      </c>
      <c r="C511" s="1">
        <v>267</v>
      </c>
      <c r="D511" s="1">
        <v>173514</v>
      </c>
      <c r="E511" s="7" t="str">
        <f t="shared" si="14"/>
        <v>026700173514</v>
      </c>
      <c r="F511" s="7" t="str">
        <f t="shared" si="15"/>
        <v>30500529454026700173514</v>
      </c>
      <c r="G511" s="5">
        <v>75484612744830</v>
      </c>
      <c r="H511" s="1">
        <v>80</v>
      </c>
      <c r="I511" s="1">
        <v>30500529454</v>
      </c>
      <c r="J511" s="1" t="s">
        <v>309</v>
      </c>
      <c r="K511" s="1">
        <v>1</v>
      </c>
      <c r="L511" s="1" t="s">
        <v>168</v>
      </c>
      <c r="M511" s="1">
        <v>1606000</v>
      </c>
      <c r="P511" s="1">
        <v>0</v>
      </c>
      <c r="Q511" s="1">
        <v>337260</v>
      </c>
      <c r="R511" s="1">
        <v>1943260</v>
      </c>
    </row>
    <row r="512" spans="1:18" x14ac:dyDescent="0.25">
      <c r="A512" s="1">
        <v>45989</v>
      </c>
      <c r="B512" s="1">
        <v>3</v>
      </c>
      <c r="C512" s="1">
        <v>267</v>
      </c>
      <c r="D512" s="1">
        <v>173518</v>
      </c>
      <c r="E512" s="7" t="str">
        <f t="shared" si="14"/>
        <v>026700173518</v>
      </c>
      <c r="F512" s="7" t="str">
        <f t="shared" si="15"/>
        <v>30500529454026700173518</v>
      </c>
      <c r="G512" s="5">
        <v>75484612831658</v>
      </c>
      <c r="H512" s="1">
        <v>80</v>
      </c>
      <c r="I512" s="1">
        <v>30500529454</v>
      </c>
      <c r="J512" s="1" t="s">
        <v>309</v>
      </c>
      <c r="K512" s="1">
        <v>1</v>
      </c>
      <c r="L512" s="1" t="s">
        <v>168</v>
      </c>
      <c r="M512" s="1">
        <v>1267000</v>
      </c>
      <c r="P512" s="1">
        <v>0</v>
      </c>
      <c r="Q512" s="1">
        <v>266070</v>
      </c>
      <c r="R512" s="1">
        <v>1533070</v>
      </c>
    </row>
    <row r="513" spans="1:18" x14ac:dyDescent="0.25">
      <c r="A513" s="1">
        <v>45989</v>
      </c>
      <c r="B513" s="1">
        <v>3</v>
      </c>
      <c r="C513" s="1">
        <v>267</v>
      </c>
      <c r="D513" s="1">
        <v>173528</v>
      </c>
      <c r="E513" s="7" t="str">
        <f t="shared" si="14"/>
        <v>026700173528</v>
      </c>
      <c r="F513" s="7" t="str">
        <f t="shared" si="15"/>
        <v>30500529454026700173528</v>
      </c>
      <c r="G513" s="5">
        <v>75484613026888</v>
      </c>
      <c r="H513" s="1">
        <v>80</v>
      </c>
      <c r="I513" s="1">
        <v>30500529454</v>
      </c>
      <c r="J513" s="1" t="s">
        <v>309</v>
      </c>
      <c r="K513" s="1">
        <v>1</v>
      </c>
      <c r="L513" s="1" t="s">
        <v>168</v>
      </c>
      <c r="M513" s="1">
        <v>1890000</v>
      </c>
      <c r="P513" s="1">
        <v>0</v>
      </c>
      <c r="Q513" s="1">
        <v>396900</v>
      </c>
      <c r="R513" s="1">
        <v>2286900</v>
      </c>
    </row>
    <row r="514" spans="1:18" x14ac:dyDescent="0.25">
      <c r="A514" s="1">
        <v>45989</v>
      </c>
      <c r="B514" s="1">
        <v>3</v>
      </c>
      <c r="C514" s="1">
        <v>32</v>
      </c>
      <c r="D514" s="1">
        <v>165788</v>
      </c>
      <c r="E514" s="7" t="str">
        <f t="shared" si="14"/>
        <v>003200165788</v>
      </c>
      <c r="F514" s="7" t="str">
        <f t="shared" si="15"/>
        <v>30621181838003200165788</v>
      </c>
      <c r="G514" s="5">
        <v>75488643288054</v>
      </c>
      <c r="H514" s="1">
        <v>80</v>
      </c>
      <c r="I514" s="1">
        <v>30621181838</v>
      </c>
      <c r="J514" s="1" t="s">
        <v>180</v>
      </c>
      <c r="K514" s="1">
        <v>1</v>
      </c>
      <c r="L514" s="1" t="s">
        <v>168</v>
      </c>
      <c r="M514" s="1">
        <v>6897076.71</v>
      </c>
      <c r="P514" s="1">
        <v>0</v>
      </c>
      <c r="Q514" s="1">
        <v>1448386.11</v>
      </c>
      <c r="R514" s="1">
        <v>8345462.8399999999</v>
      </c>
    </row>
    <row r="515" spans="1:18" x14ac:dyDescent="0.25">
      <c r="A515" s="1">
        <v>45989</v>
      </c>
      <c r="B515" s="1">
        <v>3</v>
      </c>
      <c r="C515" s="1">
        <v>267</v>
      </c>
      <c r="D515" s="1">
        <v>173594</v>
      </c>
      <c r="E515" s="7" t="str">
        <f t="shared" ref="E515:E540" si="16">TEXT(C515,"0000")&amp;TEXT(D515,"00000000")</f>
        <v>026700173594</v>
      </c>
      <c r="F515" s="7" t="str">
        <f t="shared" ref="F515:F540" si="17">I515&amp;E515</f>
        <v>30500529454026700173594</v>
      </c>
      <c r="G515" s="5">
        <v>75484703427048</v>
      </c>
      <c r="H515" s="1">
        <v>80</v>
      </c>
      <c r="I515" s="1">
        <v>30500529454</v>
      </c>
      <c r="J515" s="1" t="s">
        <v>309</v>
      </c>
      <c r="K515" s="1">
        <v>1</v>
      </c>
      <c r="L515" s="1" t="s">
        <v>168</v>
      </c>
      <c r="M515" s="1">
        <v>117978.29</v>
      </c>
      <c r="P515" s="1">
        <v>6488.81</v>
      </c>
      <c r="Q515" s="1">
        <v>24775.439999999999</v>
      </c>
      <c r="R515" s="1">
        <v>149242.54999999999</v>
      </c>
    </row>
    <row r="516" spans="1:18" x14ac:dyDescent="0.25">
      <c r="A516" s="1">
        <v>45989</v>
      </c>
      <c r="B516" s="1">
        <v>3</v>
      </c>
      <c r="C516" s="1">
        <v>267</v>
      </c>
      <c r="D516" s="1">
        <v>173595</v>
      </c>
      <c r="E516" s="7" t="str">
        <f t="shared" si="16"/>
        <v>026700173595</v>
      </c>
      <c r="F516" s="7" t="str">
        <f t="shared" si="17"/>
        <v>30500529454026700173595</v>
      </c>
      <c r="G516" s="5">
        <v>75484703440301</v>
      </c>
      <c r="H516" s="1">
        <v>80</v>
      </c>
      <c r="I516" s="1">
        <v>30500529454</v>
      </c>
      <c r="J516" s="1" t="s">
        <v>309</v>
      </c>
      <c r="K516" s="1">
        <v>1</v>
      </c>
      <c r="L516" s="1" t="s">
        <v>168</v>
      </c>
      <c r="M516" s="1">
        <v>204202.52</v>
      </c>
      <c r="P516" s="1">
        <v>11231.14</v>
      </c>
      <c r="Q516" s="1">
        <v>42882.53</v>
      </c>
      <c r="R516" s="1">
        <v>258316.17</v>
      </c>
    </row>
    <row r="517" spans="1:18" x14ac:dyDescent="0.25">
      <c r="A517" s="1">
        <v>45989</v>
      </c>
      <c r="B517" s="1">
        <v>11</v>
      </c>
      <c r="C517" s="1">
        <v>41</v>
      </c>
      <c r="D517" s="1">
        <v>1146566</v>
      </c>
      <c r="E517" s="7" t="str">
        <f t="shared" si="16"/>
        <v>004101146566</v>
      </c>
      <c r="F517" s="7" t="str">
        <f t="shared" si="17"/>
        <v>30718553519004101146566</v>
      </c>
      <c r="G517" s="5">
        <v>75489633999576</v>
      </c>
      <c r="H517" s="1">
        <v>80</v>
      </c>
      <c r="I517" s="1">
        <v>30718553519</v>
      </c>
      <c r="J517" s="1" t="s">
        <v>192</v>
      </c>
      <c r="K517" s="1">
        <v>1</v>
      </c>
      <c r="L517" s="1" t="s">
        <v>168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60450</v>
      </c>
    </row>
    <row r="518" spans="1:18" x14ac:dyDescent="0.25">
      <c r="A518" s="1">
        <v>45989</v>
      </c>
      <c r="B518" s="1">
        <v>11</v>
      </c>
      <c r="C518" s="1">
        <v>41</v>
      </c>
      <c r="D518" s="1">
        <v>1146567</v>
      </c>
      <c r="E518" s="7" t="str">
        <f t="shared" si="16"/>
        <v>004101146567</v>
      </c>
      <c r="F518" s="7" t="str">
        <f t="shared" si="17"/>
        <v>30718553519004101146567</v>
      </c>
      <c r="G518" s="5">
        <v>75489633999636</v>
      </c>
      <c r="H518" s="1">
        <v>80</v>
      </c>
      <c r="I518" s="1">
        <v>30718553519</v>
      </c>
      <c r="J518" s="1" t="s">
        <v>192</v>
      </c>
      <c r="K518" s="1">
        <v>1</v>
      </c>
      <c r="L518" s="1" t="s">
        <v>168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1400</v>
      </c>
    </row>
    <row r="519" spans="1:18" x14ac:dyDescent="0.25">
      <c r="A519" s="1">
        <v>45990</v>
      </c>
      <c r="B519" s="1">
        <v>1</v>
      </c>
      <c r="C519" s="1">
        <v>104</v>
      </c>
      <c r="D519" s="1">
        <v>11349495</v>
      </c>
      <c r="E519" s="7" t="str">
        <f t="shared" si="16"/>
        <v>010411349495</v>
      </c>
      <c r="F519" s="7" t="str">
        <f t="shared" si="17"/>
        <v>30715804812010411349495</v>
      </c>
      <c r="G519" s="5">
        <v>75482752741602</v>
      </c>
      <c r="H519" s="1">
        <v>80</v>
      </c>
      <c r="I519" s="1">
        <v>30715804812</v>
      </c>
      <c r="J519" s="1" t="s">
        <v>207</v>
      </c>
      <c r="K519" s="1">
        <v>1</v>
      </c>
      <c r="L519" s="1" t="s">
        <v>168</v>
      </c>
      <c r="M519" s="1">
        <v>38479.269999999997</v>
      </c>
      <c r="N519" s="1">
        <v>0</v>
      </c>
      <c r="O519" s="1">
        <v>0</v>
      </c>
      <c r="P519" s="1">
        <v>0</v>
      </c>
      <c r="Q519" s="1">
        <v>8080.64</v>
      </c>
      <c r="R519" s="1">
        <v>46559.91</v>
      </c>
    </row>
    <row r="520" spans="1:18" x14ac:dyDescent="0.25">
      <c r="A520" s="1">
        <v>45990</v>
      </c>
      <c r="B520" s="1">
        <v>1</v>
      </c>
      <c r="C520" s="1">
        <v>6</v>
      </c>
      <c r="D520" s="1">
        <v>3955</v>
      </c>
      <c r="E520" s="7" t="str">
        <f t="shared" si="16"/>
        <v>000600003955</v>
      </c>
      <c r="F520" s="7" t="str">
        <f t="shared" si="17"/>
        <v>20214136717000600003955</v>
      </c>
      <c r="G520" s="5">
        <v>75487706241481</v>
      </c>
      <c r="H520" s="1">
        <v>80</v>
      </c>
      <c r="I520" s="1">
        <v>20214136717</v>
      </c>
      <c r="J520" s="1" t="s">
        <v>938</v>
      </c>
      <c r="K520" s="1">
        <v>1</v>
      </c>
      <c r="L520" s="1" t="s">
        <v>168</v>
      </c>
      <c r="M520" s="1">
        <v>115595.79</v>
      </c>
      <c r="N520" s="1">
        <v>0</v>
      </c>
      <c r="O520" s="1">
        <v>0</v>
      </c>
      <c r="P520" s="1">
        <v>0</v>
      </c>
      <c r="Q520" s="1">
        <v>24275.119999999999</v>
      </c>
      <c r="R520" s="1">
        <v>139870.91</v>
      </c>
    </row>
    <row r="521" spans="1:18" x14ac:dyDescent="0.25">
      <c r="A521" s="1">
        <v>45990</v>
      </c>
      <c r="B521" s="1">
        <v>1</v>
      </c>
      <c r="C521" s="1">
        <v>104</v>
      </c>
      <c r="D521" s="1">
        <v>11382898</v>
      </c>
      <c r="E521" s="7" t="str">
        <f t="shared" si="16"/>
        <v>010411382898</v>
      </c>
      <c r="F521" s="7" t="str">
        <f t="shared" si="17"/>
        <v>30715804812010411382898</v>
      </c>
      <c r="G521" s="5">
        <v>75482764029186</v>
      </c>
      <c r="H521" s="1">
        <v>80</v>
      </c>
      <c r="I521" s="1">
        <v>30715804812</v>
      </c>
      <c r="J521" s="1" t="s">
        <v>207</v>
      </c>
      <c r="K521" s="1">
        <v>1</v>
      </c>
      <c r="L521" s="1" t="s">
        <v>168</v>
      </c>
      <c r="M521" s="1">
        <v>2079.96</v>
      </c>
      <c r="N521" s="1">
        <v>0</v>
      </c>
      <c r="O521" s="1">
        <v>0</v>
      </c>
      <c r="P521" s="1">
        <v>0</v>
      </c>
      <c r="Q521" s="1">
        <v>436.79</v>
      </c>
      <c r="R521" s="1">
        <v>2516.75</v>
      </c>
    </row>
    <row r="522" spans="1:18" x14ac:dyDescent="0.25">
      <c r="A522" s="1">
        <v>45990</v>
      </c>
      <c r="B522" s="1">
        <v>11</v>
      </c>
      <c r="C522" s="1">
        <v>1</v>
      </c>
      <c r="D522" s="1">
        <v>404</v>
      </c>
      <c r="E522" s="7" t="str">
        <f t="shared" si="16"/>
        <v>000100000404</v>
      </c>
      <c r="F522" s="7" t="str">
        <f t="shared" si="17"/>
        <v>20373299791000100000404</v>
      </c>
      <c r="G522" s="5">
        <v>75481939662285</v>
      </c>
      <c r="H522" s="1">
        <v>80</v>
      </c>
      <c r="I522" s="1">
        <v>20373299791</v>
      </c>
      <c r="J522" s="1" t="s">
        <v>611</v>
      </c>
      <c r="K522" s="1">
        <v>1</v>
      </c>
      <c r="L522" s="1" t="s">
        <v>168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125000</v>
      </c>
    </row>
    <row r="523" spans="1:18" x14ac:dyDescent="0.25">
      <c r="A523" s="1">
        <v>45991</v>
      </c>
      <c r="B523" s="1">
        <v>1</v>
      </c>
      <c r="C523" s="1">
        <v>27</v>
      </c>
      <c r="D523" s="1">
        <v>30061</v>
      </c>
      <c r="E523" s="7" t="str">
        <f t="shared" si="16"/>
        <v>002700030061</v>
      </c>
      <c r="F523" s="7" t="str">
        <f t="shared" si="17"/>
        <v>33708336969002700030061</v>
      </c>
      <c r="G523" s="5">
        <v>75489877035400</v>
      </c>
      <c r="H523" s="1">
        <v>80</v>
      </c>
      <c r="I523" s="1">
        <v>33708336969</v>
      </c>
      <c r="J523" s="1" t="s">
        <v>191</v>
      </c>
      <c r="K523" s="1">
        <v>1</v>
      </c>
      <c r="L523" s="1" t="s">
        <v>168</v>
      </c>
      <c r="M523" s="1">
        <v>1087643.21</v>
      </c>
      <c r="N523" s="1">
        <v>0</v>
      </c>
      <c r="O523" s="1">
        <v>0</v>
      </c>
      <c r="P523" s="1">
        <v>158932.76999999999</v>
      </c>
      <c r="Q523" s="1">
        <v>228405.07</v>
      </c>
      <c r="R523" s="1">
        <v>1474981.06</v>
      </c>
    </row>
    <row r="524" spans="1:18" x14ac:dyDescent="0.25">
      <c r="A524" s="1">
        <v>45991</v>
      </c>
      <c r="B524" s="1">
        <v>1</v>
      </c>
      <c r="C524" s="1">
        <v>4</v>
      </c>
      <c r="D524" s="1">
        <v>9224</v>
      </c>
      <c r="E524" s="7" t="str">
        <f t="shared" si="16"/>
        <v>000400009224</v>
      </c>
      <c r="F524" s="7" t="str">
        <f t="shared" si="17"/>
        <v>30716998718000400009224</v>
      </c>
      <c r="G524" s="5">
        <v>75488941054950</v>
      </c>
      <c r="H524" s="1">
        <v>80</v>
      </c>
      <c r="I524" s="1">
        <v>30716998718</v>
      </c>
      <c r="J524" s="1" t="s">
        <v>939</v>
      </c>
      <c r="K524" s="1">
        <v>1</v>
      </c>
      <c r="L524" s="1" t="s">
        <v>168</v>
      </c>
      <c r="M524" s="1">
        <v>58264.46</v>
      </c>
      <c r="N524" s="1">
        <v>0</v>
      </c>
      <c r="O524" s="1">
        <v>0</v>
      </c>
      <c r="P524" s="1">
        <v>0</v>
      </c>
      <c r="Q524" s="1">
        <v>12235.54</v>
      </c>
      <c r="R524" s="1">
        <v>70500</v>
      </c>
    </row>
    <row r="525" spans="1:18" x14ac:dyDescent="0.25">
      <c r="A525" s="1">
        <v>45991</v>
      </c>
      <c r="B525" s="1">
        <v>1</v>
      </c>
      <c r="C525" s="1">
        <v>3</v>
      </c>
      <c r="D525" s="1">
        <v>1660</v>
      </c>
      <c r="E525" s="7" t="str">
        <f t="shared" si="16"/>
        <v>000300001660</v>
      </c>
      <c r="F525" s="7" t="str">
        <f t="shared" si="17"/>
        <v>20335001312000300001660</v>
      </c>
      <c r="G525" s="5">
        <v>75482013012080</v>
      </c>
      <c r="H525" s="1">
        <v>80</v>
      </c>
      <c r="I525" s="1">
        <v>20335001312</v>
      </c>
      <c r="J525" s="1" t="s">
        <v>275</v>
      </c>
      <c r="K525" s="1">
        <v>1</v>
      </c>
      <c r="L525" s="1" t="s">
        <v>168</v>
      </c>
      <c r="M525" s="1">
        <v>3866528.95</v>
      </c>
      <c r="N525" s="1">
        <v>0</v>
      </c>
      <c r="O525" s="1">
        <v>0</v>
      </c>
      <c r="P525" s="1">
        <v>0</v>
      </c>
      <c r="Q525" s="1">
        <v>811971.08</v>
      </c>
      <c r="R525" s="1">
        <v>4678500.01</v>
      </c>
    </row>
    <row r="526" spans="1:18" x14ac:dyDescent="0.25">
      <c r="A526" s="1">
        <v>45991</v>
      </c>
      <c r="B526" s="1">
        <v>1</v>
      </c>
      <c r="C526" s="1">
        <v>30</v>
      </c>
      <c r="D526" s="1">
        <v>236205</v>
      </c>
      <c r="E526" s="7" t="str">
        <f t="shared" si="16"/>
        <v>003000236205</v>
      </c>
      <c r="F526" s="7" t="str">
        <f t="shared" si="17"/>
        <v>30614967125003000236205</v>
      </c>
      <c r="G526" s="5">
        <v>75485964508416</v>
      </c>
      <c r="H526" s="1">
        <v>80</v>
      </c>
      <c r="I526" s="1">
        <v>30614967125</v>
      </c>
      <c r="J526" s="1" t="s">
        <v>219</v>
      </c>
      <c r="K526" s="1">
        <v>1</v>
      </c>
      <c r="L526" s="1" t="s">
        <v>168</v>
      </c>
      <c r="M526" s="1">
        <v>65526.76</v>
      </c>
      <c r="N526" s="1">
        <v>0</v>
      </c>
      <c r="O526" s="1">
        <v>0</v>
      </c>
      <c r="P526" s="1">
        <v>0</v>
      </c>
      <c r="Q526" s="1">
        <v>13760.62</v>
      </c>
      <c r="R526" s="1">
        <v>79287.37</v>
      </c>
    </row>
    <row r="527" spans="1:18" x14ac:dyDescent="0.25">
      <c r="A527" s="1">
        <v>45991</v>
      </c>
      <c r="B527" s="1">
        <v>1</v>
      </c>
      <c r="C527" s="1">
        <v>30</v>
      </c>
      <c r="D527" s="1">
        <v>236206</v>
      </c>
      <c r="E527" s="7" t="str">
        <f t="shared" si="16"/>
        <v>003000236206</v>
      </c>
      <c r="F527" s="7" t="str">
        <f t="shared" si="17"/>
        <v>30614967125003000236206</v>
      </c>
      <c r="G527" s="5">
        <v>75485964510490</v>
      </c>
      <c r="H527" s="1">
        <v>80</v>
      </c>
      <c r="I527" s="1">
        <v>30614967125</v>
      </c>
      <c r="J527" s="1" t="s">
        <v>219</v>
      </c>
      <c r="K527" s="1">
        <v>1</v>
      </c>
      <c r="L527" s="1" t="s">
        <v>168</v>
      </c>
      <c r="M527" s="1">
        <v>1590587.48</v>
      </c>
      <c r="N527" s="1">
        <v>0</v>
      </c>
      <c r="O527" s="1">
        <v>0</v>
      </c>
      <c r="P527" s="1">
        <v>0</v>
      </c>
      <c r="Q527" s="1">
        <v>334023.37</v>
      </c>
      <c r="R527" s="1">
        <v>1924610.72</v>
      </c>
    </row>
    <row r="528" spans="1:18" x14ac:dyDescent="0.25">
      <c r="A528" s="1">
        <v>45991</v>
      </c>
      <c r="B528" s="1">
        <v>1</v>
      </c>
      <c r="C528" s="1">
        <v>30</v>
      </c>
      <c r="D528" s="1">
        <v>236207</v>
      </c>
      <c r="E528" s="7" t="str">
        <f t="shared" si="16"/>
        <v>003000236207</v>
      </c>
      <c r="F528" s="7" t="str">
        <f t="shared" si="17"/>
        <v>30614967125003000236207</v>
      </c>
      <c r="G528" s="5">
        <v>75485964537715</v>
      </c>
      <c r="H528" s="1">
        <v>80</v>
      </c>
      <c r="I528" s="1">
        <v>30614967125</v>
      </c>
      <c r="J528" s="1" t="s">
        <v>219</v>
      </c>
      <c r="K528" s="1">
        <v>1</v>
      </c>
      <c r="L528" s="1" t="s">
        <v>168</v>
      </c>
      <c r="M528" s="1">
        <v>559991.86</v>
      </c>
      <c r="N528" s="1">
        <v>0</v>
      </c>
      <c r="O528" s="1">
        <v>0</v>
      </c>
      <c r="P528" s="1">
        <v>0</v>
      </c>
      <c r="Q528" s="1">
        <v>117598.29</v>
      </c>
      <c r="R528" s="1">
        <v>677590.11</v>
      </c>
    </row>
    <row r="529" spans="1:18" x14ac:dyDescent="0.25">
      <c r="A529" s="1">
        <v>45991</v>
      </c>
      <c r="B529" s="1">
        <v>1</v>
      </c>
      <c r="C529" s="1">
        <v>30</v>
      </c>
      <c r="D529" s="1">
        <v>236208</v>
      </c>
      <c r="E529" s="7" t="str">
        <f t="shared" si="16"/>
        <v>003000236208</v>
      </c>
      <c r="F529" s="7" t="str">
        <f t="shared" si="17"/>
        <v>30614967125003000236208</v>
      </c>
      <c r="G529" s="5">
        <v>75485964587906</v>
      </c>
      <c r="H529" s="1">
        <v>80</v>
      </c>
      <c r="I529" s="1">
        <v>30614967125</v>
      </c>
      <c r="J529" s="1" t="s">
        <v>219</v>
      </c>
      <c r="K529" s="1">
        <v>1</v>
      </c>
      <c r="L529" s="1" t="s">
        <v>168</v>
      </c>
      <c r="M529" s="1">
        <v>141114.43</v>
      </c>
      <c r="N529" s="1">
        <v>0</v>
      </c>
      <c r="O529" s="1">
        <v>0</v>
      </c>
      <c r="P529" s="1">
        <v>0</v>
      </c>
      <c r="Q529" s="1">
        <v>29634.03</v>
      </c>
      <c r="R529" s="1">
        <v>170748.45</v>
      </c>
    </row>
    <row r="530" spans="1:18" x14ac:dyDescent="0.25">
      <c r="A530" s="1">
        <v>45991</v>
      </c>
      <c r="B530" s="1">
        <v>1</v>
      </c>
      <c r="C530" s="1">
        <v>30</v>
      </c>
      <c r="D530" s="1">
        <v>236209</v>
      </c>
      <c r="E530" s="7" t="str">
        <f t="shared" si="16"/>
        <v>003000236209</v>
      </c>
      <c r="F530" s="7" t="str">
        <f t="shared" si="17"/>
        <v>30614967125003000236209</v>
      </c>
      <c r="G530" s="5">
        <v>75485964658175</v>
      </c>
      <c r="H530" s="1">
        <v>80</v>
      </c>
      <c r="I530" s="1">
        <v>30614967125</v>
      </c>
      <c r="J530" s="1" t="s">
        <v>219</v>
      </c>
      <c r="K530" s="1">
        <v>1</v>
      </c>
      <c r="L530" s="1" t="s">
        <v>168</v>
      </c>
      <c r="M530" s="1">
        <v>212723.38</v>
      </c>
      <c r="N530" s="1">
        <v>0</v>
      </c>
      <c r="O530" s="1">
        <v>0</v>
      </c>
      <c r="P530" s="1">
        <v>0</v>
      </c>
      <c r="Q530" s="1">
        <v>44671.91</v>
      </c>
      <c r="R530" s="1">
        <v>257395.3</v>
      </c>
    </row>
    <row r="531" spans="1:18" x14ac:dyDescent="0.25">
      <c r="A531" s="1">
        <v>45991</v>
      </c>
      <c r="B531" s="1">
        <v>1</v>
      </c>
      <c r="C531" s="1">
        <v>30</v>
      </c>
      <c r="D531" s="1">
        <v>236210</v>
      </c>
      <c r="E531" s="7" t="str">
        <f t="shared" si="16"/>
        <v>003000236210</v>
      </c>
      <c r="F531" s="7" t="str">
        <f t="shared" si="17"/>
        <v>30614967125003000236210</v>
      </c>
      <c r="G531" s="5">
        <v>75485964946516</v>
      </c>
      <c r="H531" s="1">
        <v>80</v>
      </c>
      <c r="I531" s="1">
        <v>30614967125</v>
      </c>
      <c r="J531" s="1" t="s">
        <v>219</v>
      </c>
      <c r="K531" s="1">
        <v>1</v>
      </c>
      <c r="L531" s="1" t="s">
        <v>168</v>
      </c>
      <c r="M531" s="1">
        <v>23519.05</v>
      </c>
      <c r="N531" s="1">
        <v>0</v>
      </c>
      <c r="O531" s="1">
        <v>0</v>
      </c>
      <c r="P531" s="1">
        <v>0</v>
      </c>
      <c r="Q531" s="1">
        <v>4939</v>
      </c>
      <c r="R531" s="1">
        <v>28458.07</v>
      </c>
    </row>
    <row r="532" spans="1:18" x14ac:dyDescent="0.25">
      <c r="A532" s="1">
        <v>45991</v>
      </c>
      <c r="B532" s="1">
        <v>3</v>
      </c>
      <c r="C532" s="1">
        <v>30</v>
      </c>
      <c r="D532" s="1">
        <v>37443</v>
      </c>
      <c r="E532" s="7" t="str">
        <f t="shared" si="16"/>
        <v>003000037443</v>
      </c>
      <c r="F532" s="7" t="str">
        <f t="shared" si="17"/>
        <v>30614967125003000037443</v>
      </c>
      <c r="G532" s="5">
        <v>75485986284242</v>
      </c>
      <c r="H532" s="1">
        <v>80</v>
      </c>
      <c r="I532" s="1">
        <v>30614967125</v>
      </c>
      <c r="J532" s="1" t="s">
        <v>219</v>
      </c>
      <c r="K532" s="1">
        <v>1</v>
      </c>
      <c r="L532" s="1" t="s">
        <v>168</v>
      </c>
      <c r="M532" s="1">
        <v>212723.38</v>
      </c>
      <c r="N532" s="1">
        <v>0</v>
      </c>
      <c r="O532" s="1">
        <v>0</v>
      </c>
      <c r="P532" s="1">
        <v>0</v>
      </c>
      <c r="Q532" s="1">
        <v>44671.91</v>
      </c>
      <c r="R532" s="1">
        <v>257395.3</v>
      </c>
    </row>
    <row r="533" spans="1:18" x14ac:dyDescent="0.25">
      <c r="A533" s="1">
        <v>45991</v>
      </c>
      <c r="B533" s="1">
        <v>3</v>
      </c>
      <c r="C533" s="1">
        <v>30</v>
      </c>
      <c r="D533" s="1">
        <v>37444</v>
      </c>
      <c r="E533" s="7" t="str">
        <f t="shared" si="16"/>
        <v>003000037444</v>
      </c>
      <c r="F533" s="7" t="str">
        <f t="shared" si="17"/>
        <v>30614967125003000037444</v>
      </c>
      <c r="G533" s="5">
        <v>75485986285285</v>
      </c>
      <c r="H533" s="1">
        <v>80</v>
      </c>
      <c r="I533" s="1">
        <v>30614967125</v>
      </c>
      <c r="J533" s="1" t="s">
        <v>219</v>
      </c>
      <c r="K533" s="1">
        <v>1</v>
      </c>
      <c r="L533" s="1" t="s">
        <v>168</v>
      </c>
      <c r="M533" s="1">
        <v>23519.05</v>
      </c>
      <c r="N533" s="1">
        <v>0</v>
      </c>
      <c r="O533" s="1">
        <v>0</v>
      </c>
      <c r="P533" s="1">
        <v>0</v>
      </c>
      <c r="Q533" s="1">
        <v>4939</v>
      </c>
      <c r="R533" s="1">
        <v>28458.07</v>
      </c>
    </row>
    <row r="534" spans="1:18" x14ac:dyDescent="0.25">
      <c r="A534" s="1">
        <v>45990</v>
      </c>
      <c r="B534" s="1">
        <v>1</v>
      </c>
      <c r="C534" s="1">
        <v>61</v>
      </c>
      <c r="D534" s="1">
        <v>474717</v>
      </c>
      <c r="E534" s="7" t="str">
        <f t="shared" si="16"/>
        <v>006100474717</v>
      </c>
      <c r="F534" s="7" t="str">
        <f t="shared" si="17"/>
        <v>30703088534006100474717</v>
      </c>
      <c r="G534" s="5">
        <v>75484862651019</v>
      </c>
      <c r="H534" s="1">
        <v>80</v>
      </c>
      <c r="I534" s="1">
        <v>30703088534</v>
      </c>
      <c r="J534" s="1" t="s">
        <v>211</v>
      </c>
      <c r="K534" s="1">
        <v>1</v>
      </c>
      <c r="L534" s="1" t="s">
        <v>168</v>
      </c>
      <c r="M534" s="1">
        <v>1202009.24</v>
      </c>
      <c r="N534" s="1">
        <v>0</v>
      </c>
      <c r="O534" s="1">
        <v>0</v>
      </c>
      <c r="P534" s="1">
        <v>36060.28</v>
      </c>
      <c r="Q534" s="1">
        <v>252421.94</v>
      </c>
      <c r="R534" s="1">
        <v>1490491.46</v>
      </c>
    </row>
    <row r="535" spans="1:18" x14ac:dyDescent="0.25">
      <c r="A535" s="1">
        <v>45982</v>
      </c>
      <c r="B535" s="1">
        <v>1</v>
      </c>
      <c r="C535" s="1">
        <v>9</v>
      </c>
      <c r="D535" s="1">
        <v>94</v>
      </c>
      <c r="E535" s="7" t="str">
        <f t="shared" si="16"/>
        <v>000900000094</v>
      </c>
      <c r="F535" s="7" t="str">
        <f t="shared" si="17"/>
        <v>20216414897000900000094</v>
      </c>
      <c r="G535" s="5">
        <v>75477734247791</v>
      </c>
      <c r="H535" s="1">
        <v>80</v>
      </c>
      <c r="I535" s="1">
        <v>20216414897</v>
      </c>
      <c r="J535" s="1" t="s">
        <v>311</v>
      </c>
      <c r="K535" s="1">
        <v>1</v>
      </c>
      <c r="L535" s="1" t="s">
        <v>168</v>
      </c>
      <c r="M535" s="1">
        <v>12164.48</v>
      </c>
      <c r="N535" s="1">
        <v>0</v>
      </c>
      <c r="O535" s="1">
        <v>52470</v>
      </c>
      <c r="P535" s="1">
        <v>0</v>
      </c>
      <c r="Q535" s="1">
        <v>2554.54</v>
      </c>
      <c r="R535" s="1">
        <v>67189.02</v>
      </c>
    </row>
    <row r="536" spans="1:18" x14ac:dyDescent="0.25">
      <c r="A536" s="1">
        <v>45982</v>
      </c>
      <c r="B536" s="1">
        <v>1</v>
      </c>
      <c r="C536" s="1">
        <v>3</v>
      </c>
      <c r="D536" s="1">
        <v>1396</v>
      </c>
      <c r="E536" s="7" t="str">
        <f t="shared" si="16"/>
        <v>000300001396</v>
      </c>
      <c r="F536" s="7" t="str">
        <f t="shared" si="17"/>
        <v>20373296245000300001396</v>
      </c>
      <c r="G536" s="5">
        <v>75475157615615</v>
      </c>
      <c r="H536" s="1">
        <v>80</v>
      </c>
      <c r="I536" s="1">
        <v>20373296245</v>
      </c>
      <c r="J536" s="1" t="s">
        <v>784</v>
      </c>
      <c r="K536" s="1">
        <v>1</v>
      </c>
      <c r="L536" s="1" t="s">
        <v>168</v>
      </c>
      <c r="M536" s="1">
        <v>57198.43</v>
      </c>
      <c r="N536" s="1">
        <v>0</v>
      </c>
      <c r="O536" s="1">
        <v>0</v>
      </c>
      <c r="P536" s="1">
        <v>0</v>
      </c>
      <c r="Q536" s="1">
        <v>12011.67</v>
      </c>
      <c r="R536" s="1">
        <v>69210.09</v>
      </c>
    </row>
    <row r="537" spans="1:18" x14ac:dyDescent="0.25">
      <c r="A537" s="1">
        <v>45982</v>
      </c>
      <c r="B537" s="1">
        <v>1</v>
      </c>
      <c r="C537" s="1">
        <v>267</v>
      </c>
      <c r="D537" s="1">
        <v>908796</v>
      </c>
      <c r="E537" s="7" t="str">
        <f t="shared" si="16"/>
        <v>026700908796</v>
      </c>
      <c r="F537" s="7" t="str">
        <f t="shared" si="17"/>
        <v>30500529454026700908796</v>
      </c>
      <c r="G537" s="5">
        <v>75474717227765</v>
      </c>
      <c r="H537" s="1">
        <v>80</v>
      </c>
      <c r="I537" s="1">
        <v>30500529454</v>
      </c>
      <c r="J537" s="1" t="s">
        <v>309</v>
      </c>
      <c r="K537" s="1">
        <v>1</v>
      </c>
      <c r="L537" s="1" t="s">
        <v>168</v>
      </c>
      <c r="M537" s="1">
        <v>70286254.760000005</v>
      </c>
      <c r="N537" s="1">
        <v>0</v>
      </c>
      <c r="O537" s="1">
        <v>0</v>
      </c>
      <c r="P537" s="1">
        <v>3865744.05</v>
      </c>
      <c r="Q537" s="1">
        <v>14760113.5</v>
      </c>
      <c r="R537" s="1">
        <v>88912112.340000004</v>
      </c>
    </row>
    <row r="538" spans="1:18" x14ac:dyDescent="0.25">
      <c r="A538" s="1">
        <v>45983</v>
      </c>
      <c r="B538" s="1">
        <v>1</v>
      </c>
      <c r="C538" s="1">
        <v>6</v>
      </c>
      <c r="D538" s="1">
        <v>28142</v>
      </c>
      <c r="E538" s="7" t="str">
        <f t="shared" si="16"/>
        <v>000600028142</v>
      </c>
      <c r="F538" s="7" t="str">
        <f t="shared" si="17"/>
        <v>20188232990000600028142</v>
      </c>
      <c r="G538" s="5">
        <v>75470841786124</v>
      </c>
      <c r="H538" s="1">
        <v>80</v>
      </c>
      <c r="I538" s="1">
        <v>20188232990</v>
      </c>
      <c r="J538" s="1" t="s">
        <v>55</v>
      </c>
      <c r="K538" s="1">
        <v>1</v>
      </c>
      <c r="L538" s="1" t="s">
        <v>168</v>
      </c>
      <c r="M538" s="1">
        <v>80305.009999999995</v>
      </c>
      <c r="N538" s="1">
        <v>0</v>
      </c>
      <c r="O538" s="1">
        <v>0</v>
      </c>
      <c r="P538" s="1">
        <v>0</v>
      </c>
      <c r="Q538" s="1">
        <v>16864.05</v>
      </c>
      <c r="R538" s="1">
        <v>97169.06</v>
      </c>
    </row>
    <row r="539" spans="1:18" x14ac:dyDescent="0.25">
      <c r="A539" s="1">
        <v>45986</v>
      </c>
      <c r="B539" s="1">
        <v>1</v>
      </c>
      <c r="C539" s="1">
        <v>6</v>
      </c>
      <c r="D539" s="1">
        <v>28182</v>
      </c>
      <c r="E539" s="7" t="str">
        <f t="shared" si="16"/>
        <v>000600028182</v>
      </c>
      <c r="F539" s="7" t="str">
        <f t="shared" si="17"/>
        <v>20188232990000600028182</v>
      </c>
      <c r="G539" s="5">
        <v>75470118350730</v>
      </c>
      <c r="H539" s="1">
        <v>80</v>
      </c>
      <c r="I539" s="1">
        <v>20188232990</v>
      </c>
      <c r="J539" s="1" t="s">
        <v>55</v>
      </c>
      <c r="K539" s="1">
        <v>1</v>
      </c>
      <c r="L539" s="1" t="s">
        <v>168</v>
      </c>
      <c r="M539" s="1">
        <v>15543.86</v>
      </c>
      <c r="N539" s="1">
        <v>0</v>
      </c>
      <c r="O539" s="1">
        <v>0</v>
      </c>
      <c r="P539" s="1">
        <v>0</v>
      </c>
      <c r="Q539" s="1">
        <v>3264.2</v>
      </c>
      <c r="R539" s="1">
        <v>18808.07</v>
      </c>
    </row>
    <row r="540" spans="1:18" x14ac:dyDescent="0.25">
      <c r="A540" s="1">
        <v>45990</v>
      </c>
      <c r="B540" s="1">
        <v>1</v>
      </c>
      <c r="C540" s="1">
        <v>104</v>
      </c>
      <c r="D540" s="1">
        <v>11349929</v>
      </c>
      <c r="E540" s="7" t="str">
        <f t="shared" si="16"/>
        <v>010411349929</v>
      </c>
      <c r="F540" s="7" t="str">
        <f t="shared" si="17"/>
        <v>30715804812010411349929</v>
      </c>
      <c r="G540" s="5">
        <v>75482752864962</v>
      </c>
      <c r="H540" s="1">
        <v>80</v>
      </c>
      <c r="I540" s="1">
        <v>30715804812</v>
      </c>
      <c r="J540" s="1" t="s">
        <v>207</v>
      </c>
      <c r="K540" s="1">
        <v>1</v>
      </c>
      <c r="L540" s="1" t="s">
        <v>168</v>
      </c>
      <c r="M540" s="1">
        <v>2079.9699999999998</v>
      </c>
      <c r="N540" s="1">
        <v>0</v>
      </c>
      <c r="O540" s="1">
        <v>0</v>
      </c>
      <c r="P540" s="1">
        <v>0</v>
      </c>
      <c r="Q540" s="1">
        <v>436.79</v>
      </c>
      <c r="R540" s="1">
        <v>2516.7600000000002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2AAE-8599-425F-BA21-AB7385ECF783}">
  <dimension ref="A1:W228"/>
  <sheetViews>
    <sheetView tabSelected="1" topLeftCell="A115" workbookViewId="0">
      <selection activeCell="C131" sqref="C131"/>
    </sheetView>
  </sheetViews>
  <sheetFormatPr baseColWidth="10" defaultRowHeight="10.8" x14ac:dyDescent="0.25"/>
  <cols>
    <col min="1" max="1" width="11.5" style="1" bestFit="1" customWidth="1"/>
    <col min="2" max="2" width="36.375" customWidth="1"/>
    <col min="4" max="4" width="12.75" bestFit="1" customWidth="1"/>
    <col min="11" max="11" width="12.875" bestFit="1" customWidth="1"/>
    <col min="14" max="14" width="12" bestFit="1" customWidth="1"/>
  </cols>
  <sheetData>
    <row r="1" spans="1:23" ht="11.4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3" t="s">
        <v>11</v>
      </c>
      <c r="M1" s="3" t="s">
        <v>12</v>
      </c>
      <c r="N1" s="11" t="s">
        <v>4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215</v>
      </c>
      <c r="T1" s="13" t="s">
        <v>216</v>
      </c>
      <c r="U1" s="9" t="s">
        <v>241</v>
      </c>
      <c r="V1" s="9" t="s">
        <v>240</v>
      </c>
      <c r="W1" s="9" t="s">
        <v>242</v>
      </c>
    </row>
    <row r="2" spans="1:23" ht="11.4" thickTop="1" x14ac:dyDescent="0.25">
      <c r="A2" s="1" t="s">
        <v>47</v>
      </c>
      <c r="B2" s="1" t="s">
        <v>48</v>
      </c>
      <c r="C2" s="1" t="s">
        <v>19</v>
      </c>
      <c r="D2" s="1">
        <v>30562597464</v>
      </c>
      <c r="E2" s="1" t="s">
        <v>20</v>
      </c>
      <c r="F2" s="1" t="s">
        <v>329</v>
      </c>
      <c r="G2" s="1" t="s">
        <v>21</v>
      </c>
      <c r="H2" s="1" t="s">
        <v>22</v>
      </c>
      <c r="I2" s="1" t="s">
        <v>330</v>
      </c>
      <c r="J2" s="2">
        <v>21</v>
      </c>
      <c r="K2" s="12">
        <v>-459949.14</v>
      </c>
      <c r="L2" s="2">
        <v>-380123.26</v>
      </c>
      <c r="M2" s="2">
        <v>0</v>
      </c>
      <c r="N2" s="12">
        <v>-79825.88</v>
      </c>
      <c r="O2" s="2">
        <v>0</v>
      </c>
      <c r="P2" s="2">
        <v>0</v>
      </c>
      <c r="Q2" s="2">
        <v>0</v>
      </c>
      <c r="R2" s="2">
        <v>0</v>
      </c>
      <c r="S2" s="8" t="s">
        <v>940</v>
      </c>
      <c r="T2" s="14" t="s">
        <v>328</v>
      </c>
      <c r="U2" s="10" t="s">
        <v>328</v>
      </c>
      <c r="V2" s="10" t="s">
        <v>328</v>
      </c>
      <c r="W2" s="1" t="s">
        <v>328</v>
      </c>
    </row>
    <row r="3" spans="1:23" x14ac:dyDescent="0.25">
      <c r="A3" s="1" t="s">
        <v>279</v>
      </c>
      <c r="B3" s="1" t="s">
        <v>280</v>
      </c>
      <c r="C3" s="1" t="s">
        <v>19</v>
      </c>
      <c r="D3" s="1">
        <v>33620532229</v>
      </c>
      <c r="E3" s="1" t="s">
        <v>20</v>
      </c>
      <c r="F3" s="1" t="s">
        <v>255</v>
      </c>
      <c r="G3" s="1" t="s">
        <v>21</v>
      </c>
      <c r="H3" s="1" t="s">
        <v>22</v>
      </c>
      <c r="I3" s="1" t="s">
        <v>331</v>
      </c>
      <c r="J3" s="2">
        <v>21</v>
      </c>
      <c r="K3" s="12">
        <v>-206388.15</v>
      </c>
      <c r="L3" s="2">
        <v>-170568.72</v>
      </c>
      <c r="M3" s="2">
        <v>0</v>
      </c>
      <c r="N3" s="12">
        <v>-35819.43</v>
      </c>
      <c r="O3" s="2">
        <v>0</v>
      </c>
      <c r="P3" s="2">
        <v>0</v>
      </c>
      <c r="Q3" s="2">
        <v>0</v>
      </c>
      <c r="R3" s="2">
        <v>0</v>
      </c>
      <c r="S3" s="8" t="s">
        <v>941</v>
      </c>
      <c r="T3" s="14" t="s">
        <v>328</v>
      </c>
      <c r="U3" s="10" t="s">
        <v>328</v>
      </c>
      <c r="V3" s="10" t="s">
        <v>328</v>
      </c>
      <c r="W3" s="1" t="s">
        <v>328</v>
      </c>
    </row>
    <row r="4" spans="1:23" x14ac:dyDescent="0.25">
      <c r="A4" s="1" t="s">
        <v>17</v>
      </c>
      <c r="B4" s="1" t="s">
        <v>18</v>
      </c>
      <c r="C4" s="1" t="s">
        <v>19</v>
      </c>
      <c r="D4" s="1">
        <v>30500529454</v>
      </c>
      <c r="E4" s="1" t="s">
        <v>20</v>
      </c>
      <c r="F4" s="1" t="s">
        <v>243</v>
      </c>
      <c r="G4" s="1" t="s">
        <v>21</v>
      </c>
      <c r="H4" s="1" t="s">
        <v>22</v>
      </c>
      <c r="I4" s="1" t="s">
        <v>332</v>
      </c>
      <c r="J4" s="2">
        <v>21</v>
      </c>
      <c r="K4" s="12">
        <v>-207657.9</v>
      </c>
      <c r="L4" s="2">
        <v>-97841.1</v>
      </c>
      <c r="M4" s="2">
        <v>0</v>
      </c>
      <c r="N4" s="12">
        <v>-20546.64</v>
      </c>
      <c r="O4" s="2">
        <v>-2935.23</v>
      </c>
      <c r="P4" s="2">
        <v>-2446.0300000000002</v>
      </c>
      <c r="Q4" s="2">
        <v>-83888.9</v>
      </c>
      <c r="R4" s="2">
        <v>0</v>
      </c>
      <c r="S4" s="8" t="s">
        <v>942</v>
      </c>
      <c r="T4" s="14" t="s">
        <v>328</v>
      </c>
      <c r="U4" s="10" t="s">
        <v>328</v>
      </c>
      <c r="V4" s="10" t="s">
        <v>328</v>
      </c>
      <c r="W4" s="1" t="s">
        <v>328</v>
      </c>
    </row>
    <row r="5" spans="1:23" x14ac:dyDescent="0.25">
      <c r="A5" s="1" t="s">
        <v>279</v>
      </c>
      <c r="B5" s="1" t="s">
        <v>280</v>
      </c>
      <c r="C5" s="1" t="s">
        <v>19</v>
      </c>
      <c r="D5" s="1">
        <v>33620532229</v>
      </c>
      <c r="E5" s="1" t="s">
        <v>20</v>
      </c>
      <c r="F5" s="1" t="s">
        <v>278</v>
      </c>
      <c r="G5" s="1" t="s">
        <v>21</v>
      </c>
      <c r="H5" s="1" t="s">
        <v>22</v>
      </c>
      <c r="I5" s="1" t="s">
        <v>333</v>
      </c>
      <c r="J5" s="2">
        <v>21</v>
      </c>
      <c r="K5" s="12">
        <v>-1506196.02</v>
      </c>
      <c r="L5" s="2">
        <v>-1244790.1000000001</v>
      </c>
      <c r="M5" s="2">
        <v>0</v>
      </c>
      <c r="N5" s="12">
        <v>-261405.92</v>
      </c>
      <c r="O5" s="2">
        <v>0</v>
      </c>
      <c r="P5" s="2">
        <v>0</v>
      </c>
      <c r="Q5" s="2">
        <v>0</v>
      </c>
      <c r="R5" s="2">
        <v>0</v>
      </c>
      <c r="S5" s="8" t="s">
        <v>943</v>
      </c>
      <c r="T5" s="14" t="s">
        <v>328</v>
      </c>
      <c r="U5" s="10" t="s">
        <v>328</v>
      </c>
      <c r="V5" s="10" t="s">
        <v>328</v>
      </c>
      <c r="W5" s="1" t="s">
        <v>328</v>
      </c>
    </row>
    <row r="6" spans="1:23" x14ac:dyDescent="0.25">
      <c r="A6" s="1" t="s">
        <v>27</v>
      </c>
      <c r="B6" s="1" t="s">
        <v>28</v>
      </c>
      <c r="C6" s="1" t="s">
        <v>19</v>
      </c>
      <c r="D6" s="1">
        <v>30501044551</v>
      </c>
      <c r="E6" s="1" t="s">
        <v>20</v>
      </c>
      <c r="F6" s="1" t="s">
        <v>244</v>
      </c>
      <c r="G6" s="1" t="s">
        <v>21</v>
      </c>
      <c r="H6" s="1" t="s">
        <v>22</v>
      </c>
      <c r="I6" s="1" t="s">
        <v>334</v>
      </c>
      <c r="J6" s="2">
        <v>21</v>
      </c>
      <c r="K6" s="12">
        <v>-126936.9</v>
      </c>
      <c r="L6" s="2">
        <v>-30431.38</v>
      </c>
      <c r="M6" s="2">
        <v>0</v>
      </c>
      <c r="N6" s="12">
        <v>-6390.59</v>
      </c>
      <c r="O6" s="2">
        <v>-912.94</v>
      </c>
      <c r="P6" s="2">
        <v>-760.78</v>
      </c>
      <c r="Q6" s="2">
        <v>-88441.21</v>
      </c>
      <c r="R6" s="2">
        <v>0</v>
      </c>
      <c r="S6" s="8" t="s">
        <v>944</v>
      </c>
      <c r="T6" s="14" t="s">
        <v>328</v>
      </c>
      <c r="U6" s="10" t="s">
        <v>328</v>
      </c>
      <c r="V6" s="10" t="s">
        <v>328</v>
      </c>
      <c r="W6" s="1" t="s">
        <v>328</v>
      </c>
    </row>
    <row r="7" spans="1:23" x14ac:dyDescent="0.25">
      <c r="A7" s="1" t="s">
        <v>17</v>
      </c>
      <c r="B7" s="1" t="s">
        <v>18</v>
      </c>
      <c r="C7" s="1" t="s">
        <v>19</v>
      </c>
      <c r="D7" s="1">
        <v>30500529454</v>
      </c>
      <c r="E7" s="1" t="s">
        <v>20</v>
      </c>
      <c r="F7" s="1" t="s">
        <v>292</v>
      </c>
      <c r="G7" s="1" t="s">
        <v>21</v>
      </c>
      <c r="H7" s="1" t="s">
        <v>22</v>
      </c>
      <c r="I7" s="1" t="s">
        <v>335</v>
      </c>
      <c r="J7" s="2">
        <v>21</v>
      </c>
      <c r="K7" s="12">
        <v>-75705.97</v>
      </c>
      <c r="L7" s="2">
        <v>-62566.92</v>
      </c>
      <c r="M7" s="2">
        <v>0</v>
      </c>
      <c r="N7" s="12">
        <v>-13139.05</v>
      </c>
      <c r="O7" s="2">
        <v>0</v>
      </c>
      <c r="P7" s="2">
        <v>0</v>
      </c>
      <c r="Q7" s="2">
        <v>0</v>
      </c>
      <c r="R7" s="2">
        <v>0</v>
      </c>
      <c r="S7" s="8" t="s">
        <v>945</v>
      </c>
      <c r="T7" s="14" t="s">
        <v>328</v>
      </c>
      <c r="U7" s="10" t="s">
        <v>328</v>
      </c>
      <c r="V7" s="10" t="s">
        <v>328</v>
      </c>
      <c r="W7" s="1" t="s">
        <v>328</v>
      </c>
    </row>
    <row r="8" spans="1:23" x14ac:dyDescent="0.25">
      <c r="A8" s="1" t="s">
        <v>35</v>
      </c>
      <c r="B8" s="1" t="s">
        <v>36</v>
      </c>
      <c r="C8" s="1" t="s">
        <v>19</v>
      </c>
      <c r="D8" s="1">
        <v>33522734549</v>
      </c>
      <c r="E8" s="1" t="s">
        <v>20</v>
      </c>
      <c r="F8" s="1" t="s">
        <v>245</v>
      </c>
      <c r="G8" s="1" t="s">
        <v>21</v>
      </c>
      <c r="H8" s="1" t="s">
        <v>22</v>
      </c>
      <c r="I8" s="1" t="s">
        <v>336</v>
      </c>
      <c r="J8" s="2">
        <v>21</v>
      </c>
      <c r="K8" s="12">
        <v>-1668181.71</v>
      </c>
      <c r="L8" s="2">
        <v>-1345307.84</v>
      </c>
      <c r="M8" s="2">
        <v>0</v>
      </c>
      <c r="N8" s="12">
        <v>-282514.64</v>
      </c>
      <c r="O8" s="2">
        <v>-40359.230000000003</v>
      </c>
      <c r="P8" s="2">
        <v>0</v>
      </c>
      <c r="Q8" s="2">
        <v>0</v>
      </c>
      <c r="R8" s="2">
        <v>0</v>
      </c>
      <c r="S8" s="8" t="s">
        <v>946</v>
      </c>
      <c r="T8" s="14" t="s">
        <v>328</v>
      </c>
      <c r="U8" s="10" t="s">
        <v>328</v>
      </c>
      <c r="V8" s="10" t="s">
        <v>328</v>
      </c>
      <c r="W8" s="1" t="s">
        <v>328</v>
      </c>
    </row>
    <row r="9" spans="1:23" x14ac:dyDescent="0.25">
      <c r="A9" s="1" t="s">
        <v>35</v>
      </c>
      <c r="B9" s="1" t="s">
        <v>36</v>
      </c>
      <c r="C9" s="1" t="s">
        <v>19</v>
      </c>
      <c r="D9" s="1">
        <v>33522734549</v>
      </c>
      <c r="E9" s="1" t="s">
        <v>20</v>
      </c>
      <c r="F9" s="1" t="s">
        <v>245</v>
      </c>
      <c r="G9" s="1" t="s">
        <v>21</v>
      </c>
      <c r="H9" s="1" t="s">
        <v>22</v>
      </c>
      <c r="I9" s="1" t="s">
        <v>337</v>
      </c>
      <c r="J9" s="2">
        <v>21</v>
      </c>
      <c r="K9" s="12">
        <v>-2276867.92</v>
      </c>
      <c r="L9" s="2">
        <v>-1836183.81</v>
      </c>
      <c r="M9" s="2">
        <v>0</v>
      </c>
      <c r="N9" s="12">
        <v>-385598.6</v>
      </c>
      <c r="O9" s="2">
        <v>-55085.51</v>
      </c>
      <c r="P9" s="2">
        <v>0</v>
      </c>
      <c r="Q9" s="2">
        <v>0</v>
      </c>
      <c r="R9" s="2">
        <v>0</v>
      </c>
      <c r="S9" s="8" t="s">
        <v>947</v>
      </c>
      <c r="T9" s="14" t="s">
        <v>328</v>
      </c>
      <c r="U9" s="10" t="s">
        <v>328</v>
      </c>
      <c r="V9" s="10" t="s">
        <v>328</v>
      </c>
      <c r="W9" s="1" t="s">
        <v>328</v>
      </c>
    </row>
    <row r="10" spans="1:23" x14ac:dyDescent="0.25">
      <c r="A10" s="1" t="s">
        <v>35</v>
      </c>
      <c r="B10" s="1" t="s">
        <v>36</v>
      </c>
      <c r="C10" s="1" t="s">
        <v>19</v>
      </c>
      <c r="D10" s="1">
        <v>33522734549</v>
      </c>
      <c r="E10" s="1" t="s">
        <v>20</v>
      </c>
      <c r="F10" s="1" t="s">
        <v>245</v>
      </c>
      <c r="G10" s="1" t="s">
        <v>21</v>
      </c>
      <c r="H10" s="1" t="s">
        <v>22</v>
      </c>
      <c r="I10" s="1" t="s">
        <v>338</v>
      </c>
      <c r="J10" s="2">
        <v>21</v>
      </c>
      <c r="K10" s="12">
        <v>-5106.0200000000004</v>
      </c>
      <c r="L10" s="2">
        <v>-4117.76</v>
      </c>
      <c r="M10" s="2">
        <v>0</v>
      </c>
      <c r="N10" s="12">
        <v>-864.73</v>
      </c>
      <c r="O10" s="2">
        <v>-123.53</v>
      </c>
      <c r="P10" s="2">
        <v>0</v>
      </c>
      <c r="Q10" s="2">
        <v>0</v>
      </c>
      <c r="R10" s="2">
        <v>0</v>
      </c>
      <c r="S10" s="8" t="s">
        <v>948</v>
      </c>
      <c r="T10" s="14" t="s">
        <v>328</v>
      </c>
      <c r="U10" s="10" t="s">
        <v>328</v>
      </c>
      <c r="V10" s="10" t="s">
        <v>328</v>
      </c>
      <c r="W10" s="1" t="s">
        <v>328</v>
      </c>
    </row>
    <row r="11" spans="1:23" x14ac:dyDescent="0.25">
      <c r="A11" s="1" t="s">
        <v>35</v>
      </c>
      <c r="B11" s="1" t="s">
        <v>36</v>
      </c>
      <c r="C11" s="1" t="s">
        <v>19</v>
      </c>
      <c r="D11" s="1">
        <v>33522734549</v>
      </c>
      <c r="E11" s="1" t="s">
        <v>20</v>
      </c>
      <c r="F11" s="1" t="s">
        <v>245</v>
      </c>
      <c r="G11" s="1" t="s">
        <v>21</v>
      </c>
      <c r="H11" s="1" t="s">
        <v>22</v>
      </c>
      <c r="I11" s="1" t="s">
        <v>339</v>
      </c>
      <c r="J11" s="2">
        <v>21</v>
      </c>
      <c r="K11" s="12">
        <v>-26593.75</v>
      </c>
      <c r="L11" s="2">
        <v>-21446.57</v>
      </c>
      <c r="M11" s="2">
        <v>0</v>
      </c>
      <c r="N11" s="12">
        <v>-4503.78</v>
      </c>
      <c r="O11" s="2">
        <v>-643.4</v>
      </c>
      <c r="P11" s="2">
        <v>0</v>
      </c>
      <c r="Q11" s="2">
        <v>0</v>
      </c>
      <c r="R11" s="2">
        <v>0</v>
      </c>
      <c r="S11" s="8" t="s">
        <v>949</v>
      </c>
      <c r="T11" s="14" t="s">
        <v>328</v>
      </c>
      <c r="U11" s="10" t="s">
        <v>328</v>
      </c>
      <c r="V11" s="10" t="s">
        <v>328</v>
      </c>
      <c r="W11" s="1" t="s">
        <v>328</v>
      </c>
    </row>
    <row r="12" spans="1:23" x14ac:dyDescent="0.25">
      <c r="A12" s="1" t="s">
        <v>35</v>
      </c>
      <c r="B12" s="1" t="s">
        <v>36</v>
      </c>
      <c r="C12" s="1" t="s">
        <v>19</v>
      </c>
      <c r="D12" s="1">
        <v>33522734549</v>
      </c>
      <c r="E12" s="1" t="s">
        <v>20</v>
      </c>
      <c r="F12" s="1" t="s">
        <v>245</v>
      </c>
      <c r="G12" s="1" t="s">
        <v>21</v>
      </c>
      <c r="H12" s="1" t="s">
        <v>22</v>
      </c>
      <c r="I12" s="1" t="s">
        <v>340</v>
      </c>
      <c r="J12" s="2">
        <v>21</v>
      </c>
      <c r="K12" s="12">
        <v>-383572.04</v>
      </c>
      <c r="L12" s="2">
        <v>-309332.28999999998</v>
      </c>
      <c r="M12" s="2">
        <v>0</v>
      </c>
      <c r="N12" s="12">
        <v>-64959.78</v>
      </c>
      <c r="O12" s="2">
        <v>-9279.9699999999993</v>
      </c>
      <c r="P12" s="2">
        <v>0</v>
      </c>
      <c r="Q12" s="2">
        <v>0</v>
      </c>
      <c r="R12" s="2">
        <v>0</v>
      </c>
      <c r="S12" s="8" t="s">
        <v>950</v>
      </c>
      <c r="T12" s="14" t="s">
        <v>328</v>
      </c>
      <c r="U12" s="10" t="s">
        <v>328</v>
      </c>
      <c r="V12" s="10" t="s">
        <v>328</v>
      </c>
      <c r="W12" s="1" t="s">
        <v>328</v>
      </c>
    </row>
    <row r="13" spans="1:23" x14ac:dyDescent="0.25">
      <c r="A13" s="1" t="s">
        <v>49</v>
      </c>
      <c r="B13" s="1" t="s">
        <v>50</v>
      </c>
      <c r="C13" s="1" t="s">
        <v>19</v>
      </c>
      <c r="D13" s="1">
        <v>30523412236</v>
      </c>
      <c r="E13" s="1" t="s">
        <v>20</v>
      </c>
      <c r="F13" s="1" t="s">
        <v>246</v>
      </c>
      <c r="G13" s="1" t="s">
        <v>21</v>
      </c>
      <c r="H13" s="1" t="s">
        <v>22</v>
      </c>
      <c r="I13" s="1" t="s">
        <v>341</v>
      </c>
      <c r="J13" s="2">
        <v>21</v>
      </c>
      <c r="K13" s="12">
        <v>-1089740.02</v>
      </c>
      <c r="L13" s="2">
        <v>-900611.59</v>
      </c>
      <c r="M13" s="2">
        <v>0</v>
      </c>
      <c r="N13" s="12">
        <v>-189128.43</v>
      </c>
      <c r="O13" s="2">
        <v>0</v>
      </c>
      <c r="P13" s="2">
        <v>0</v>
      </c>
      <c r="Q13" s="2">
        <v>0</v>
      </c>
      <c r="R13" s="2">
        <v>0</v>
      </c>
      <c r="S13" s="8" t="s">
        <v>951</v>
      </c>
      <c r="T13" s="14" t="s">
        <v>328</v>
      </c>
      <c r="U13" s="10" t="s">
        <v>328</v>
      </c>
      <c r="V13" s="10" t="s">
        <v>328</v>
      </c>
      <c r="W13" s="1" t="s">
        <v>328</v>
      </c>
    </row>
    <row r="14" spans="1:23" x14ac:dyDescent="0.25">
      <c r="A14" s="1" t="s">
        <v>17</v>
      </c>
      <c r="B14" s="1" t="s">
        <v>18</v>
      </c>
      <c r="C14" s="1" t="s">
        <v>19</v>
      </c>
      <c r="D14" s="1">
        <v>30500529454</v>
      </c>
      <c r="E14" s="1" t="s">
        <v>20</v>
      </c>
      <c r="F14" s="1" t="s">
        <v>246</v>
      </c>
      <c r="G14" s="1" t="s">
        <v>21</v>
      </c>
      <c r="H14" s="1" t="s">
        <v>22</v>
      </c>
      <c r="I14" s="1" t="s">
        <v>342</v>
      </c>
      <c r="J14" s="2">
        <v>21</v>
      </c>
      <c r="K14" s="12">
        <v>-1919999.99</v>
      </c>
      <c r="L14" s="2">
        <v>-1586776.85</v>
      </c>
      <c r="M14" s="2">
        <v>0</v>
      </c>
      <c r="N14" s="12">
        <v>-333223.14</v>
      </c>
      <c r="O14" s="2">
        <v>0</v>
      </c>
      <c r="P14" s="2">
        <v>0</v>
      </c>
      <c r="Q14" s="2">
        <v>0</v>
      </c>
      <c r="R14" s="2">
        <v>0</v>
      </c>
      <c r="S14" s="8" t="s">
        <v>952</v>
      </c>
      <c r="T14" s="14" t="s">
        <v>328</v>
      </c>
      <c r="U14" s="10" t="s">
        <v>328</v>
      </c>
      <c r="V14" s="10" t="s">
        <v>328</v>
      </c>
      <c r="W14" s="1" t="s">
        <v>328</v>
      </c>
    </row>
    <row r="15" spans="1:23" x14ac:dyDescent="0.25">
      <c r="A15" s="1" t="s">
        <v>47</v>
      </c>
      <c r="B15" s="1" t="s">
        <v>48</v>
      </c>
      <c r="C15" s="1" t="s">
        <v>19</v>
      </c>
      <c r="D15" s="1">
        <v>30562597464</v>
      </c>
      <c r="E15" s="1" t="s">
        <v>20</v>
      </c>
      <c r="F15" s="1" t="s">
        <v>301</v>
      </c>
      <c r="G15" s="1" t="s">
        <v>21</v>
      </c>
      <c r="H15" s="1" t="s">
        <v>22</v>
      </c>
      <c r="I15" s="1" t="s">
        <v>343</v>
      </c>
      <c r="J15" s="2">
        <v>21</v>
      </c>
      <c r="K15" s="12">
        <v>-422422.42</v>
      </c>
      <c r="L15" s="2">
        <v>-349109.44</v>
      </c>
      <c r="M15" s="2">
        <v>0</v>
      </c>
      <c r="N15" s="12">
        <v>-73312.98</v>
      </c>
      <c r="O15" s="2">
        <v>0</v>
      </c>
      <c r="P15" s="2">
        <v>0</v>
      </c>
      <c r="Q15" s="2">
        <v>0</v>
      </c>
      <c r="R15" s="2">
        <v>0</v>
      </c>
      <c r="S15" s="8" t="s">
        <v>953</v>
      </c>
      <c r="T15" s="14" t="s">
        <v>328</v>
      </c>
      <c r="U15" s="10" t="s">
        <v>328</v>
      </c>
      <c r="V15" s="10" t="s">
        <v>328</v>
      </c>
      <c r="W15" s="1" t="s">
        <v>328</v>
      </c>
    </row>
    <row r="16" spans="1:23" x14ac:dyDescent="0.25">
      <c r="A16" s="1" t="s">
        <v>133</v>
      </c>
      <c r="B16" s="1" t="s">
        <v>134</v>
      </c>
      <c r="C16" s="1" t="s">
        <v>19</v>
      </c>
      <c r="D16" s="1">
        <v>30682681108</v>
      </c>
      <c r="E16" s="1" t="s">
        <v>20</v>
      </c>
      <c r="F16" s="1" t="s">
        <v>301</v>
      </c>
      <c r="G16" s="1" t="s">
        <v>21</v>
      </c>
      <c r="H16" s="1" t="s">
        <v>22</v>
      </c>
      <c r="I16" s="1" t="s">
        <v>344</v>
      </c>
      <c r="J16" s="2">
        <v>21</v>
      </c>
      <c r="K16" s="12">
        <v>-631148.46</v>
      </c>
      <c r="L16" s="2">
        <v>-521613.72</v>
      </c>
      <c r="M16" s="2">
        <v>0</v>
      </c>
      <c r="N16" s="12">
        <v>-109534.74</v>
      </c>
      <c r="O16" s="2">
        <v>0</v>
      </c>
      <c r="P16" s="2">
        <v>0</v>
      </c>
      <c r="Q16" s="2">
        <v>0</v>
      </c>
      <c r="R16" s="2">
        <v>0</v>
      </c>
      <c r="S16" s="8" t="s">
        <v>954</v>
      </c>
      <c r="T16" s="14" t="s">
        <v>328</v>
      </c>
      <c r="U16" s="10" t="s">
        <v>328</v>
      </c>
      <c r="V16" s="10" t="s">
        <v>328</v>
      </c>
      <c r="W16" s="1" t="s">
        <v>328</v>
      </c>
    </row>
    <row r="17" spans="1:23" x14ac:dyDescent="0.25">
      <c r="A17" s="1" t="s">
        <v>27</v>
      </c>
      <c r="B17" s="1" t="s">
        <v>28</v>
      </c>
      <c r="C17" s="1" t="s">
        <v>19</v>
      </c>
      <c r="D17" s="1">
        <v>30501044551</v>
      </c>
      <c r="E17" s="1" t="s">
        <v>20</v>
      </c>
      <c r="F17" s="1" t="s">
        <v>247</v>
      </c>
      <c r="G17" s="1" t="s">
        <v>21</v>
      </c>
      <c r="H17" s="1" t="s">
        <v>22</v>
      </c>
      <c r="I17" s="1" t="s">
        <v>345</v>
      </c>
      <c r="J17" s="2">
        <v>21</v>
      </c>
      <c r="K17" s="12">
        <v>-1819.55</v>
      </c>
      <c r="L17" s="2">
        <v>-1503.76</v>
      </c>
      <c r="M17" s="2">
        <v>0</v>
      </c>
      <c r="N17" s="12">
        <v>-315.79000000000002</v>
      </c>
      <c r="O17" s="2">
        <v>0</v>
      </c>
      <c r="P17" s="2">
        <v>0</v>
      </c>
      <c r="Q17" s="2">
        <v>0</v>
      </c>
      <c r="R17" s="2">
        <v>0</v>
      </c>
      <c r="S17" s="8" t="s">
        <v>955</v>
      </c>
      <c r="T17" s="14" t="s">
        <v>328</v>
      </c>
      <c r="U17" s="10" t="s">
        <v>328</v>
      </c>
      <c r="V17" s="10" t="s">
        <v>328</v>
      </c>
      <c r="W17" s="1" t="s">
        <v>328</v>
      </c>
    </row>
    <row r="18" spans="1:23" x14ac:dyDescent="0.25">
      <c r="A18" s="1" t="s">
        <v>27</v>
      </c>
      <c r="B18" s="1" t="s">
        <v>28</v>
      </c>
      <c r="C18" s="1" t="s">
        <v>19</v>
      </c>
      <c r="D18" s="1">
        <v>30501044551</v>
      </c>
      <c r="E18" s="1" t="s">
        <v>20</v>
      </c>
      <c r="F18" s="1" t="s">
        <v>247</v>
      </c>
      <c r="G18" s="1" t="s">
        <v>21</v>
      </c>
      <c r="H18" s="1" t="s">
        <v>22</v>
      </c>
      <c r="I18" s="1" t="s">
        <v>346</v>
      </c>
      <c r="J18" s="2">
        <v>21</v>
      </c>
      <c r="K18" s="12">
        <v>-13711.53</v>
      </c>
      <c r="L18" s="2">
        <v>-11331.84</v>
      </c>
      <c r="M18" s="2">
        <v>0</v>
      </c>
      <c r="N18" s="12">
        <v>-2379.69</v>
      </c>
      <c r="O18" s="2">
        <v>0</v>
      </c>
      <c r="P18" s="2">
        <v>0</v>
      </c>
      <c r="Q18" s="2">
        <v>0</v>
      </c>
      <c r="R18" s="2">
        <v>0</v>
      </c>
      <c r="S18" s="8" t="s">
        <v>956</v>
      </c>
      <c r="T18" s="14" t="s">
        <v>328</v>
      </c>
      <c r="U18" s="10" t="s">
        <v>328</v>
      </c>
      <c r="V18" s="10" t="s">
        <v>328</v>
      </c>
      <c r="W18" s="1" t="s">
        <v>328</v>
      </c>
    </row>
    <row r="19" spans="1:23" x14ac:dyDescent="0.25">
      <c r="A19" s="1" t="s">
        <v>27</v>
      </c>
      <c r="B19" s="1" t="s">
        <v>28</v>
      </c>
      <c r="C19" s="1" t="s">
        <v>19</v>
      </c>
      <c r="D19" s="1">
        <v>30501044551</v>
      </c>
      <c r="E19" s="1" t="s">
        <v>20</v>
      </c>
      <c r="F19" s="1" t="s">
        <v>247</v>
      </c>
      <c r="G19" s="1" t="s">
        <v>21</v>
      </c>
      <c r="H19" s="1" t="s">
        <v>22</v>
      </c>
      <c r="I19" s="1" t="s">
        <v>347</v>
      </c>
      <c r="J19" s="2">
        <v>21</v>
      </c>
      <c r="K19" s="12">
        <v>-76758.75</v>
      </c>
      <c r="L19" s="2">
        <v>-63436.98</v>
      </c>
      <c r="M19" s="2">
        <v>0</v>
      </c>
      <c r="N19" s="12">
        <v>-13321.77</v>
      </c>
      <c r="O19" s="2">
        <v>0</v>
      </c>
      <c r="P19" s="2">
        <v>0</v>
      </c>
      <c r="Q19" s="2">
        <v>0</v>
      </c>
      <c r="R19" s="2">
        <v>0</v>
      </c>
      <c r="S19" s="8" t="s">
        <v>957</v>
      </c>
      <c r="T19" s="14" t="s">
        <v>328</v>
      </c>
      <c r="U19" s="10" t="s">
        <v>328</v>
      </c>
      <c r="V19" s="10" t="s">
        <v>328</v>
      </c>
      <c r="W19" s="1" t="s">
        <v>328</v>
      </c>
    </row>
    <row r="20" spans="1:23" x14ac:dyDescent="0.25">
      <c r="A20" s="1" t="s">
        <v>27</v>
      </c>
      <c r="B20" s="1" t="s">
        <v>28</v>
      </c>
      <c r="C20" s="1" t="s">
        <v>19</v>
      </c>
      <c r="D20" s="1">
        <v>30501044551</v>
      </c>
      <c r="E20" s="1" t="s">
        <v>20</v>
      </c>
      <c r="F20" s="1" t="s">
        <v>248</v>
      </c>
      <c r="G20" s="1" t="s">
        <v>21</v>
      </c>
      <c r="H20" s="1" t="s">
        <v>22</v>
      </c>
      <c r="I20" s="1" t="s">
        <v>348</v>
      </c>
      <c r="J20" s="2">
        <v>21</v>
      </c>
      <c r="K20" s="12">
        <v>-7566.95</v>
      </c>
      <c r="L20" s="2">
        <v>-6253.68</v>
      </c>
      <c r="M20" s="2">
        <v>0</v>
      </c>
      <c r="N20" s="12">
        <v>-1313.27</v>
      </c>
      <c r="O20" s="2">
        <v>0</v>
      </c>
      <c r="P20" s="2">
        <v>0</v>
      </c>
      <c r="Q20" s="2">
        <v>0</v>
      </c>
      <c r="R20" s="2">
        <v>0</v>
      </c>
      <c r="S20" s="8" t="s">
        <v>958</v>
      </c>
      <c r="T20" s="14" t="s">
        <v>328</v>
      </c>
      <c r="U20" s="10" t="s">
        <v>328</v>
      </c>
      <c r="V20" s="10" t="s">
        <v>328</v>
      </c>
      <c r="W20" s="1" t="s">
        <v>328</v>
      </c>
    </row>
    <row r="21" spans="1:23" x14ac:dyDescent="0.25">
      <c r="A21" s="1" t="s">
        <v>27</v>
      </c>
      <c r="B21" s="1" t="s">
        <v>28</v>
      </c>
      <c r="C21" s="1" t="s">
        <v>19</v>
      </c>
      <c r="D21" s="1">
        <v>30501044551</v>
      </c>
      <c r="E21" s="1" t="s">
        <v>20</v>
      </c>
      <c r="F21" s="1" t="s">
        <v>248</v>
      </c>
      <c r="G21" s="1" t="s">
        <v>21</v>
      </c>
      <c r="H21" s="1" t="s">
        <v>22</v>
      </c>
      <c r="I21" s="1" t="s">
        <v>349</v>
      </c>
      <c r="J21" s="2">
        <v>21</v>
      </c>
      <c r="K21" s="12">
        <v>-34163.269999999997</v>
      </c>
      <c r="L21" s="2">
        <v>-28234.11</v>
      </c>
      <c r="M21" s="2">
        <v>0</v>
      </c>
      <c r="N21" s="12">
        <v>-5929.16</v>
      </c>
      <c r="O21" s="2">
        <v>0</v>
      </c>
      <c r="P21" s="2">
        <v>0</v>
      </c>
      <c r="Q21" s="2">
        <v>0</v>
      </c>
      <c r="R21" s="2">
        <v>0</v>
      </c>
      <c r="S21" s="8" t="s">
        <v>959</v>
      </c>
      <c r="T21" s="14" t="s">
        <v>328</v>
      </c>
      <c r="U21" s="10" t="s">
        <v>328</v>
      </c>
      <c r="V21" s="10" t="s">
        <v>328</v>
      </c>
      <c r="W21" s="1" t="s">
        <v>328</v>
      </c>
    </row>
    <row r="22" spans="1:23" x14ac:dyDescent="0.25">
      <c r="A22" s="1" t="s">
        <v>27</v>
      </c>
      <c r="B22" s="1" t="s">
        <v>28</v>
      </c>
      <c r="C22" s="1" t="s">
        <v>19</v>
      </c>
      <c r="D22" s="1">
        <v>30501044551</v>
      </c>
      <c r="E22" s="1" t="s">
        <v>20</v>
      </c>
      <c r="F22" s="1" t="s">
        <v>248</v>
      </c>
      <c r="G22" s="1" t="s">
        <v>21</v>
      </c>
      <c r="H22" s="1" t="s">
        <v>22</v>
      </c>
      <c r="I22" s="1" t="s">
        <v>350</v>
      </c>
      <c r="J22" s="2">
        <v>21</v>
      </c>
      <c r="K22" s="12">
        <v>-16851.5</v>
      </c>
      <c r="L22" s="2">
        <v>-13926.86</v>
      </c>
      <c r="M22" s="2">
        <v>0</v>
      </c>
      <c r="N22" s="12">
        <v>-2924.64</v>
      </c>
      <c r="O22" s="2">
        <v>0</v>
      </c>
      <c r="P22" s="2">
        <v>0</v>
      </c>
      <c r="Q22" s="2">
        <v>0</v>
      </c>
      <c r="R22" s="2">
        <v>0</v>
      </c>
      <c r="S22" s="8" t="s">
        <v>960</v>
      </c>
      <c r="T22" s="14" t="s">
        <v>328</v>
      </c>
      <c r="U22" s="10" t="s">
        <v>328</v>
      </c>
      <c r="V22" s="10" t="s">
        <v>328</v>
      </c>
      <c r="W22" s="1" t="s">
        <v>328</v>
      </c>
    </row>
    <row r="23" spans="1:23" x14ac:dyDescent="0.25">
      <c r="A23" s="1" t="s">
        <v>27</v>
      </c>
      <c r="B23" s="1" t="s">
        <v>28</v>
      </c>
      <c r="C23" s="1" t="s">
        <v>19</v>
      </c>
      <c r="D23" s="1">
        <v>30501044551</v>
      </c>
      <c r="E23" s="1" t="s">
        <v>20</v>
      </c>
      <c r="F23" s="1" t="s">
        <v>248</v>
      </c>
      <c r="G23" s="1" t="s">
        <v>21</v>
      </c>
      <c r="H23" s="1" t="s">
        <v>22</v>
      </c>
      <c r="I23" s="1" t="s">
        <v>351</v>
      </c>
      <c r="J23" s="2">
        <v>21</v>
      </c>
      <c r="K23" s="12">
        <v>-25349.02</v>
      </c>
      <c r="L23" s="2">
        <v>-20949.599999999999</v>
      </c>
      <c r="M23" s="2">
        <v>0</v>
      </c>
      <c r="N23" s="12">
        <v>-4399.42</v>
      </c>
      <c r="O23" s="2">
        <v>0</v>
      </c>
      <c r="P23" s="2">
        <v>0</v>
      </c>
      <c r="Q23" s="2">
        <v>0</v>
      </c>
      <c r="R23" s="2">
        <v>0</v>
      </c>
      <c r="S23" s="8" t="s">
        <v>961</v>
      </c>
      <c r="T23" s="14" t="s">
        <v>328</v>
      </c>
      <c r="U23" s="10" t="s">
        <v>328</v>
      </c>
      <c r="V23" s="10" t="s">
        <v>328</v>
      </c>
      <c r="W23" s="1" t="s">
        <v>328</v>
      </c>
    </row>
    <row r="24" spans="1:23" x14ac:dyDescent="0.25">
      <c r="A24" s="1" t="s">
        <v>27</v>
      </c>
      <c r="B24" s="1" t="s">
        <v>28</v>
      </c>
      <c r="C24" s="1" t="s">
        <v>19</v>
      </c>
      <c r="D24" s="1">
        <v>30501044551</v>
      </c>
      <c r="E24" s="1" t="s">
        <v>20</v>
      </c>
      <c r="F24" s="1" t="s">
        <v>307</v>
      </c>
      <c r="G24" s="1" t="s">
        <v>21</v>
      </c>
      <c r="H24" s="1" t="s">
        <v>22</v>
      </c>
      <c r="I24" s="1" t="s">
        <v>352</v>
      </c>
      <c r="J24" s="2">
        <v>21</v>
      </c>
      <c r="K24" s="12">
        <v>-1188461.93</v>
      </c>
      <c r="L24" s="2">
        <v>-982199.94</v>
      </c>
      <c r="M24" s="2">
        <v>0</v>
      </c>
      <c r="N24" s="12">
        <v>-206261.99</v>
      </c>
      <c r="O24" s="2">
        <v>0</v>
      </c>
      <c r="P24" s="2">
        <v>0</v>
      </c>
      <c r="Q24" s="2">
        <v>0</v>
      </c>
      <c r="R24" s="2">
        <v>0</v>
      </c>
      <c r="S24" s="8" t="s">
        <v>962</v>
      </c>
      <c r="T24" s="14" t="s">
        <v>328</v>
      </c>
      <c r="U24" s="10" t="s">
        <v>328</v>
      </c>
      <c r="V24" s="10" t="s">
        <v>328</v>
      </c>
      <c r="W24" s="1" t="s">
        <v>328</v>
      </c>
    </row>
    <row r="25" spans="1:23" x14ac:dyDescent="0.25">
      <c r="A25" s="1" t="s">
        <v>27</v>
      </c>
      <c r="B25" s="1" t="s">
        <v>28</v>
      </c>
      <c r="C25" s="1" t="s">
        <v>19</v>
      </c>
      <c r="D25" s="1">
        <v>30501044551</v>
      </c>
      <c r="E25" s="1" t="s">
        <v>20</v>
      </c>
      <c r="F25" s="1" t="s">
        <v>249</v>
      </c>
      <c r="G25" s="1" t="s">
        <v>21</v>
      </c>
      <c r="H25" s="1" t="s">
        <v>22</v>
      </c>
      <c r="I25" s="1" t="s">
        <v>353</v>
      </c>
      <c r="J25" s="2">
        <v>21</v>
      </c>
      <c r="K25" s="12">
        <v>-1898829.18</v>
      </c>
      <c r="L25" s="2">
        <v>-1569280.31</v>
      </c>
      <c r="M25" s="2">
        <v>0</v>
      </c>
      <c r="N25" s="12">
        <v>-329548.87</v>
      </c>
      <c r="O25" s="2">
        <v>0</v>
      </c>
      <c r="P25" s="2">
        <v>0</v>
      </c>
      <c r="Q25" s="2">
        <v>0</v>
      </c>
      <c r="R25" s="2">
        <v>0</v>
      </c>
      <c r="S25" s="8" t="s">
        <v>963</v>
      </c>
      <c r="T25" s="14" t="s">
        <v>328</v>
      </c>
      <c r="U25" s="10" t="s">
        <v>328</v>
      </c>
      <c r="V25" s="10" t="s">
        <v>328</v>
      </c>
      <c r="W25" s="1" t="s">
        <v>328</v>
      </c>
    </row>
    <row r="26" spans="1:23" x14ac:dyDescent="0.25">
      <c r="A26" s="1" t="s">
        <v>27</v>
      </c>
      <c r="B26" s="1" t="s">
        <v>28</v>
      </c>
      <c r="C26" s="1" t="s">
        <v>19</v>
      </c>
      <c r="D26" s="1">
        <v>30501044551</v>
      </c>
      <c r="E26" s="1" t="s">
        <v>20</v>
      </c>
      <c r="F26" s="1" t="s">
        <v>249</v>
      </c>
      <c r="G26" s="1" t="s">
        <v>21</v>
      </c>
      <c r="H26" s="1" t="s">
        <v>22</v>
      </c>
      <c r="I26" s="1" t="s">
        <v>354</v>
      </c>
      <c r="J26" s="2">
        <v>21</v>
      </c>
      <c r="K26" s="12">
        <v>-1551804.33</v>
      </c>
      <c r="L26" s="2">
        <v>-1282482.92</v>
      </c>
      <c r="M26" s="2">
        <v>0</v>
      </c>
      <c r="N26" s="12">
        <v>-269321.40999999997</v>
      </c>
      <c r="O26" s="2">
        <v>0</v>
      </c>
      <c r="P26" s="2">
        <v>0</v>
      </c>
      <c r="Q26" s="2">
        <v>0</v>
      </c>
      <c r="R26" s="2">
        <v>0</v>
      </c>
      <c r="S26" s="8" t="s">
        <v>964</v>
      </c>
      <c r="T26" s="14" t="s">
        <v>328</v>
      </c>
      <c r="U26" s="10" t="s">
        <v>328</v>
      </c>
      <c r="V26" s="10" t="s">
        <v>328</v>
      </c>
      <c r="W26" s="1" t="s">
        <v>328</v>
      </c>
    </row>
    <row r="27" spans="1:23" x14ac:dyDescent="0.25">
      <c r="A27" s="1" t="s">
        <v>27</v>
      </c>
      <c r="B27" s="1" t="s">
        <v>28</v>
      </c>
      <c r="C27" s="1" t="s">
        <v>19</v>
      </c>
      <c r="D27" s="1">
        <v>30501044551</v>
      </c>
      <c r="E27" s="1" t="s">
        <v>20</v>
      </c>
      <c r="F27" s="1" t="s">
        <v>249</v>
      </c>
      <c r="G27" s="1" t="s">
        <v>21</v>
      </c>
      <c r="H27" s="1" t="s">
        <v>22</v>
      </c>
      <c r="I27" s="1" t="s">
        <v>355</v>
      </c>
      <c r="J27" s="2">
        <v>21</v>
      </c>
      <c r="K27" s="12">
        <v>-5848.1</v>
      </c>
      <c r="L27" s="2">
        <v>-4833.1400000000003</v>
      </c>
      <c r="M27" s="2">
        <v>0</v>
      </c>
      <c r="N27" s="12">
        <v>-1014.96</v>
      </c>
      <c r="O27" s="2">
        <v>0</v>
      </c>
      <c r="P27" s="2">
        <v>0</v>
      </c>
      <c r="Q27" s="2">
        <v>0</v>
      </c>
      <c r="R27" s="2">
        <v>0</v>
      </c>
      <c r="S27" s="8" t="s">
        <v>965</v>
      </c>
      <c r="T27" s="14" t="s">
        <v>328</v>
      </c>
      <c r="U27" s="10" t="s">
        <v>328</v>
      </c>
      <c r="V27" s="10" t="s">
        <v>328</v>
      </c>
      <c r="W27" s="1" t="s">
        <v>328</v>
      </c>
    </row>
    <row r="28" spans="1:23" x14ac:dyDescent="0.25">
      <c r="A28" s="1" t="s">
        <v>27</v>
      </c>
      <c r="B28" s="1" t="s">
        <v>28</v>
      </c>
      <c r="C28" s="1" t="s">
        <v>19</v>
      </c>
      <c r="D28" s="1">
        <v>30501044551</v>
      </c>
      <c r="E28" s="1" t="s">
        <v>20</v>
      </c>
      <c r="F28" s="1" t="s">
        <v>249</v>
      </c>
      <c r="G28" s="1" t="s">
        <v>21</v>
      </c>
      <c r="H28" s="1" t="s">
        <v>22</v>
      </c>
      <c r="I28" s="1" t="s">
        <v>356</v>
      </c>
      <c r="J28" s="2">
        <v>21</v>
      </c>
      <c r="K28" s="12">
        <v>-5848.1</v>
      </c>
      <c r="L28" s="2">
        <v>-4833.1400000000003</v>
      </c>
      <c r="M28" s="2">
        <v>0</v>
      </c>
      <c r="N28" s="12">
        <v>-1014.96</v>
      </c>
      <c r="O28" s="2">
        <v>0</v>
      </c>
      <c r="P28" s="2">
        <v>0</v>
      </c>
      <c r="Q28" s="2">
        <v>0</v>
      </c>
      <c r="R28" s="2">
        <v>0</v>
      </c>
      <c r="S28" s="8" t="s">
        <v>966</v>
      </c>
      <c r="T28" s="14" t="s">
        <v>328</v>
      </c>
      <c r="U28" s="10" t="s">
        <v>328</v>
      </c>
      <c r="V28" s="10" t="s">
        <v>328</v>
      </c>
      <c r="W28" s="1" t="s">
        <v>328</v>
      </c>
    </row>
    <row r="29" spans="1:23" x14ac:dyDescent="0.25">
      <c r="A29" s="1" t="s">
        <v>27</v>
      </c>
      <c r="B29" s="1" t="s">
        <v>28</v>
      </c>
      <c r="C29" s="1" t="s">
        <v>19</v>
      </c>
      <c r="D29" s="1">
        <v>30501044551</v>
      </c>
      <c r="E29" s="1" t="s">
        <v>20</v>
      </c>
      <c r="F29" s="1" t="s">
        <v>249</v>
      </c>
      <c r="G29" s="1" t="s">
        <v>21</v>
      </c>
      <c r="H29" s="1" t="s">
        <v>22</v>
      </c>
      <c r="I29" s="1" t="s">
        <v>357</v>
      </c>
      <c r="J29" s="2">
        <v>21</v>
      </c>
      <c r="K29" s="12">
        <v>-11696.2</v>
      </c>
      <c r="L29" s="2">
        <v>-9666.2800000000007</v>
      </c>
      <c r="M29" s="2">
        <v>0</v>
      </c>
      <c r="N29" s="12">
        <v>-2029.92</v>
      </c>
      <c r="O29" s="2">
        <v>0</v>
      </c>
      <c r="P29" s="2">
        <v>0</v>
      </c>
      <c r="Q29" s="2">
        <v>0</v>
      </c>
      <c r="R29" s="2">
        <v>0</v>
      </c>
      <c r="S29" s="8" t="s">
        <v>967</v>
      </c>
      <c r="T29" s="14" t="s">
        <v>328</v>
      </c>
      <c r="U29" s="10" t="s">
        <v>328</v>
      </c>
      <c r="V29" s="10" t="s">
        <v>328</v>
      </c>
      <c r="W29" s="1" t="s">
        <v>328</v>
      </c>
    </row>
    <row r="30" spans="1:23" x14ac:dyDescent="0.25">
      <c r="A30" s="1" t="s">
        <v>23</v>
      </c>
      <c r="B30" s="1" t="s">
        <v>24</v>
      </c>
      <c r="C30" s="1" t="s">
        <v>19</v>
      </c>
      <c r="D30" s="1">
        <v>30614967125</v>
      </c>
      <c r="E30" s="1" t="s">
        <v>20</v>
      </c>
      <c r="F30" s="1" t="s">
        <v>249</v>
      </c>
      <c r="G30" s="1" t="s">
        <v>21</v>
      </c>
      <c r="H30" s="1" t="s">
        <v>22</v>
      </c>
      <c r="I30" s="1" t="s">
        <v>358</v>
      </c>
      <c r="J30" s="2">
        <v>21</v>
      </c>
      <c r="K30" s="12">
        <v>-2295488.77</v>
      </c>
      <c r="L30" s="2">
        <v>-1897098.16</v>
      </c>
      <c r="M30" s="2">
        <v>0</v>
      </c>
      <c r="N30" s="12">
        <v>-398390.61</v>
      </c>
      <c r="O30" s="2">
        <v>0</v>
      </c>
      <c r="P30" s="2">
        <v>0</v>
      </c>
      <c r="Q30" s="2">
        <v>0</v>
      </c>
      <c r="R30" s="2">
        <v>0</v>
      </c>
      <c r="S30" s="8" t="s">
        <v>968</v>
      </c>
      <c r="T30" s="14" t="s">
        <v>328</v>
      </c>
      <c r="U30" s="10" t="s">
        <v>328</v>
      </c>
      <c r="V30" s="10" t="s">
        <v>328</v>
      </c>
      <c r="W30" s="1" t="s">
        <v>328</v>
      </c>
    </row>
    <row r="31" spans="1:23" x14ac:dyDescent="0.25">
      <c r="A31" s="1" t="s">
        <v>1031</v>
      </c>
      <c r="B31" s="1" t="s">
        <v>1032</v>
      </c>
      <c r="C31" s="1" t="s">
        <v>19</v>
      </c>
      <c r="D31" s="1">
        <v>20183925599</v>
      </c>
      <c r="E31" s="1" t="s">
        <v>20</v>
      </c>
      <c r="F31" s="1" t="s">
        <v>245</v>
      </c>
      <c r="G31" s="1" t="s">
        <v>53</v>
      </c>
      <c r="H31" s="1" t="s">
        <v>54</v>
      </c>
      <c r="I31" s="1" t="s">
        <v>1033</v>
      </c>
      <c r="J31" s="2">
        <v>21</v>
      </c>
      <c r="K31" s="12">
        <v>44800.25</v>
      </c>
      <c r="L31" s="2">
        <v>37025</v>
      </c>
      <c r="M31" s="2">
        <v>0</v>
      </c>
      <c r="N31" s="12">
        <v>7775.25</v>
      </c>
      <c r="O31" s="2">
        <v>0</v>
      </c>
      <c r="P31" s="2">
        <v>0</v>
      </c>
      <c r="Q31" s="2">
        <v>0</v>
      </c>
      <c r="R31" s="2">
        <v>0</v>
      </c>
      <c r="S31" s="8" t="s">
        <v>1196</v>
      </c>
      <c r="T31" s="14" t="s">
        <v>328</v>
      </c>
      <c r="U31" s="10" t="s">
        <v>328</v>
      </c>
      <c r="V31" s="10" t="s">
        <v>328</v>
      </c>
      <c r="W31" s="1" t="s">
        <v>328</v>
      </c>
    </row>
    <row r="32" spans="1:23" x14ac:dyDescent="0.25">
      <c r="A32" s="1" t="s">
        <v>1034</v>
      </c>
      <c r="B32" s="1" t="s">
        <v>250</v>
      </c>
      <c r="C32" s="1" t="s">
        <v>19</v>
      </c>
      <c r="D32" s="1">
        <v>20177699889</v>
      </c>
      <c r="E32" s="1" t="s">
        <v>20</v>
      </c>
      <c r="F32" s="1" t="s">
        <v>245</v>
      </c>
      <c r="G32" s="1" t="s">
        <v>53</v>
      </c>
      <c r="H32" s="1" t="s">
        <v>54</v>
      </c>
      <c r="I32" s="1" t="s">
        <v>1035</v>
      </c>
      <c r="J32" s="2">
        <v>21</v>
      </c>
      <c r="K32" s="12">
        <v>44000</v>
      </c>
      <c r="L32" s="2">
        <v>36363.64</v>
      </c>
      <c r="M32" s="2">
        <v>0</v>
      </c>
      <c r="N32" s="12">
        <v>7636.36</v>
      </c>
      <c r="O32" s="2">
        <v>0</v>
      </c>
      <c r="P32" s="2">
        <v>0</v>
      </c>
      <c r="Q32" s="2">
        <v>0</v>
      </c>
      <c r="R32" s="2">
        <v>0</v>
      </c>
      <c r="S32" s="8" t="s">
        <v>1197</v>
      </c>
      <c r="T32" s="14" t="s">
        <v>328</v>
      </c>
      <c r="U32" s="10" t="s">
        <v>328</v>
      </c>
      <c r="V32" s="10" t="s">
        <v>328</v>
      </c>
      <c r="W32" s="1" t="s">
        <v>328</v>
      </c>
    </row>
    <row r="33" spans="1:23" x14ac:dyDescent="0.25">
      <c r="A33" s="1" t="s">
        <v>422</v>
      </c>
      <c r="B33" s="1" t="s">
        <v>423</v>
      </c>
      <c r="C33" s="1" t="s">
        <v>19</v>
      </c>
      <c r="D33" s="1">
        <v>30707475222</v>
      </c>
      <c r="E33" s="1" t="s">
        <v>20</v>
      </c>
      <c r="F33" s="1" t="s">
        <v>245</v>
      </c>
      <c r="G33" s="1" t="s">
        <v>53</v>
      </c>
      <c r="H33" s="1" t="s">
        <v>54</v>
      </c>
      <c r="I33" s="1" t="s">
        <v>424</v>
      </c>
      <c r="J33" s="2">
        <v>21</v>
      </c>
      <c r="K33" s="12">
        <v>50013.99</v>
      </c>
      <c r="L33" s="2">
        <v>41333.879999999997</v>
      </c>
      <c r="M33" s="2">
        <v>0</v>
      </c>
      <c r="N33" s="12">
        <v>8680.11</v>
      </c>
      <c r="O33" s="2">
        <v>0</v>
      </c>
      <c r="P33" s="2">
        <v>0</v>
      </c>
      <c r="Q33" s="2">
        <v>0</v>
      </c>
      <c r="R33" s="2">
        <v>0</v>
      </c>
      <c r="S33" s="8" t="s">
        <v>969</v>
      </c>
      <c r="T33" s="14" t="s">
        <v>328</v>
      </c>
      <c r="U33" s="10" t="s">
        <v>328</v>
      </c>
      <c r="V33" s="10" t="s">
        <v>328</v>
      </c>
      <c r="W33" s="1" t="s">
        <v>328</v>
      </c>
    </row>
    <row r="34" spans="1:23" x14ac:dyDescent="0.25">
      <c r="A34" s="1" t="s">
        <v>422</v>
      </c>
      <c r="B34" s="1" t="s">
        <v>423</v>
      </c>
      <c r="C34" s="1" t="s">
        <v>19</v>
      </c>
      <c r="D34" s="1">
        <v>30707475222</v>
      </c>
      <c r="E34" s="1" t="s">
        <v>20</v>
      </c>
      <c r="F34" s="1" t="s">
        <v>245</v>
      </c>
      <c r="G34" s="1" t="s">
        <v>53</v>
      </c>
      <c r="H34" s="1" t="s">
        <v>54</v>
      </c>
      <c r="I34" s="1" t="s">
        <v>424</v>
      </c>
      <c r="J34" s="2">
        <v>0</v>
      </c>
      <c r="K34" s="12">
        <v>10993</v>
      </c>
      <c r="L34" s="2">
        <v>0</v>
      </c>
      <c r="M34" s="2">
        <v>10993</v>
      </c>
      <c r="N34" s="12">
        <v>0</v>
      </c>
      <c r="O34" s="2">
        <v>0</v>
      </c>
      <c r="P34" s="2">
        <v>0</v>
      </c>
      <c r="Q34" s="2">
        <v>0</v>
      </c>
      <c r="R34" s="2">
        <v>0</v>
      </c>
      <c r="S34" s="8" t="s">
        <v>969</v>
      </c>
      <c r="T34" s="14" t="s">
        <v>328</v>
      </c>
      <c r="U34" s="10" t="s">
        <v>328</v>
      </c>
      <c r="V34" s="10" t="s">
        <v>328</v>
      </c>
      <c r="W34" s="1" t="s">
        <v>328</v>
      </c>
    </row>
    <row r="35" spans="1:23" x14ac:dyDescent="0.25">
      <c r="A35" s="1" t="s">
        <v>1036</v>
      </c>
      <c r="B35" s="1" t="s">
        <v>323</v>
      </c>
      <c r="C35" s="1" t="s">
        <v>19</v>
      </c>
      <c r="D35" s="1">
        <v>30698548289</v>
      </c>
      <c r="E35" s="1" t="s">
        <v>20</v>
      </c>
      <c r="F35" s="1" t="s">
        <v>245</v>
      </c>
      <c r="G35" s="1" t="s">
        <v>53</v>
      </c>
      <c r="H35" s="1" t="s">
        <v>54</v>
      </c>
      <c r="I35" s="1" t="s">
        <v>1037</v>
      </c>
      <c r="J35" s="2">
        <v>21</v>
      </c>
      <c r="K35" s="12">
        <v>87924.37</v>
      </c>
      <c r="L35" s="2">
        <v>72664.77</v>
      </c>
      <c r="M35" s="2">
        <v>0</v>
      </c>
      <c r="N35" s="12">
        <v>15259.6</v>
      </c>
      <c r="O35" s="2">
        <v>0</v>
      </c>
      <c r="P35" s="2">
        <v>0</v>
      </c>
      <c r="Q35" s="2">
        <v>0</v>
      </c>
      <c r="R35" s="2">
        <v>0</v>
      </c>
      <c r="S35" s="8" t="s">
        <v>1198</v>
      </c>
      <c r="T35" s="14" t="s">
        <v>328</v>
      </c>
      <c r="U35" s="10" t="s">
        <v>328</v>
      </c>
      <c r="V35" s="10" t="s">
        <v>328</v>
      </c>
      <c r="W35" s="1" t="s">
        <v>328</v>
      </c>
    </row>
    <row r="36" spans="1:23" x14ac:dyDescent="0.25">
      <c r="A36" s="1" t="s">
        <v>1036</v>
      </c>
      <c r="B36" s="1" t="s">
        <v>323</v>
      </c>
      <c r="C36" s="1" t="s">
        <v>19</v>
      </c>
      <c r="D36" s="1">
        <v>30698548289</v>
      </c>
      <c r="E36" s="1" t="s">
        <v>20</v>
      </c>
      <c r="F36" s="1" t="s">
        <v>245</v>
      </c>
      <c r="G36" s="1" t="s">
        <v>53</v>
      </c>
      <c r="H36" s="1" t="s">
        <v>54</v>
      </c>
      <c r="I36" s="1" t="s">
        <v>1037</v>
      </c>
      <c r="J36" s="2">
        <v>0</v>
      </c>
      <c r="K36" s="12">
        <v>12076.05</v>
      </c>
      <c r="L36" s="2">
        <v>0</v>
      </c>
      <c r="M36" s="2">
        <v>12076.05</v>
      </c>
      <c r="N36" s="12">
        <v>0</v>
      </c>
      <c r="O36" s="2">
        <v>0</v>
      </c>
      <c r="P36" s="2">
        <v>0</v>
      </c>
      <c r="Q36" s="2">
        <v>0</v>
      </c>
      <c r="R36" s="2">
        <v>0</v>
      </c>
      <c r="S36" s="8" t="s">
        <v>1198</v>
      </c>
      <c r="T36" s="14" t="s">
        <v>328</v>
      </c>
      <c r="U36" s="10" t="s">
        <v>328</v>
      </c>
      <c r="V36" s="10" t="s">
        <v>328</v>
      </c>
      <c r="W36" s="1" t="s">
        <v>328</v>
      </c>
    </row>
    <row r="37" spans="1:23" x14ac:dyDescent="0.25">
      <c r="A37" s="1" t="s">
        <v>263</v>
      </c>
      <c r="B37" s="1" t="s">
        <v>264</v>
      </c>
      <c r="C37" s="1" t="s">
        <v>19</v>
      </c>
      <c r="D37" s="1">
        <v>30521137963</v>
      </c>
      <c r="E37" s="1" t="s">
        <v>20</v>
      </c>
      <c r="F37" s="1" t="s">
        <v>245</v>
      </c>
      <c r="G37" s="1" t="s">
        <v>53</v>
      </c>
      <c r="H37" s="1" t="s">
        <v>54</v>
      </c>
      <c r="I37" s="1" t="s">
        <v>1038</v>
      </c>
      <c r="J37" s="2">
        <v>21</v>
      </c>
      <c r="K37" s="12">
        <v>71065.899999999994</v>
      </c>
      <c r="L37" s="2">
        <v>58732.15</v>
      </c>
      <c r="M37" s="2">
        <v>0</v>
      </c>
      <c r="N37" s="12">
        <v>12333.75</v>
      </c>
      <c r="O37" s="2">
        <v>0</v>
      </c>
      <c r="P37" s="2">
        <v>0</v>
      </c>
      <c r="Q37" s="2">
        <v>0</v>
      </c>
      <c r="R37" s="2">
        <v>0</v>
      </c>
      <c r="S37" s="8" t="s">
        <v>1199</v>
      </c>
      <c r="T37" s="14" t="s">
        <v>328</v>
      </c>
      <c r="U37" s="10" t="s">
        <v>328</v>
      </c>
      <c r="V37" s="10" t="s">
        <v>328</v>
      </c>
      <c r="W37" s="1" t="s">
        <v>328</v>
      </c>
    </row>
    <row r="38" spans="1:23" x14ac:dyDescent="0.25">
      <c r="A38" s="1" t="s">
        <v>263</v>
      </c>
      <c r="B38" s="1" t="s">
        <v>264</v>
      </c>
      <c r="C38" s="1" t="s">
        <v>19</v>
      </c>
      <c r="D38" s="1">
        <v>30521137963</v>
      </c>
      <c r="E38" s="1" t="s">
        <v>20</v>
      </c>
      <c r="F38" s="1" t="s">
        <v>245</v>
      </c>
      <c r="G38" s="1" t="s">
        <v>53</v>
      </c>
      <c r="H38" s="1" t="s">
        <v>54</v>
      </c>
      <c r="I38" s="1" t="s">
        <v>1038</v>
      </c>
      <c r="J38" s="2">
        <v>0</v>
      </c>
      <c r="K38" s="12">
        <v>8934.1</v>
      </c>
      <c r="L38" s="2">
        <v>0</v>
      </c>
      <c r="M38" s="2">
        <v>8934.1</v>
      </c>
      <c r="N38" s="12">
        <v>0</v>
      </c>
      <c r="O38" s="2">
        <v>0</v>
      </c>
      <c r="P38" s="2">
        <v>0</v>
      </c>
      <c r="Q38" s="2">
        <v>0</v>
      </c>
      <c r="R38" s="2">
        <v>0</v>
      </c>
      <c r="S38" s="8" t="s">
        <v>1199</v>
      </c>
      <c r="T38" s="14" t="s">
        <v>328</v>
      </c>
      <c r="U38" s="10" t="s">
        <v>328</v>
      </c>
      <c r="V38" s="10" t="s">
        <v>328</v>
      </c>
      <c r="W38" s="1" t="s">
        <v>328</v>
      </c>
    </row>
    <row r="39" spans="1:23" x14ac:dyDescent="0.25">
      <c r="A39" s="1" t="s">
        <v>263</v>
      </c>
      <c r="B39" s="1" t="s">
        <v>264</v>
      </c>
      <c r="C39" s="1" t="s">
        <v>19</v>
      </c>
      <c r="D39" s="1">
        <v>30521137963</v>
      </c>
      <c r="E39" s="1" t="s">
        <v>20</v>
      </c>
      <c r="F39" s="1" t="s">
        <v>245</v>
      </c>
      <c r="G39" s="1" t="s">
        <v>53</v>
      </c>
      <c r="H39" s="1" t="s">
        <v>54</v>
      </c>
      <c r="I39" s="1" t="s">
        <v>425</v>
      </c>
      <c r="J39" s="2">
        <v>21</v>
      </c>
      <c r="K39" s="12">
        <v>16900</v>
      </c>
      <c r="L39" s="2">
        <v>13966.94</v>
      </c>
      <c r="M39" s="2">
        <v>0</v>
      </c>
      <c r="N39" s="12">
        <v>2933.06</v>
      </c>
      <c r="O39" s="2">
        <v>0</v>
      </c>
      <c r="P39" s="2">
        <v>0</v>
      </c>
      <c r="Q39" s="2">
        <v>0</v>
      </c>
      <c r="R39" s="2">
        <v>0</v>
      </c>
      <c r="S39" s="8" t="s">
        <v>970</v>
      </c>
      <c r="T39" s="14" t="s">
        <v>328</v>
      </c>
      <c r="U39" s="10" t="s">
        <v>328</v>
      </c>
      <c r="V39" s="10" t="s">
        <v>328</v>
      </c>
      <c r="W39" s="1" t="s">
        <v>328</v>
      </c>
    </row>
    <row r="40" spans="1:23" x14ac:dyDescent="0.25">
      <c r="A40" s="1" t="s">
        <v>1039</v>
      </c>
      <c r="B40" s="1" t="s">
        <v>1040</v>
      </c>
      <c r="C40" s="1" t="s">
        <v>19</v>
      </c>
      <c r="D40" s="1">
        <v>30708442166</v>
      </c>
      <c r="E40" s="1" t="s">
        <v>20</v>
      </c>
      <c r="F40" s="1" t="s">
        <v>246</v>
      </c>
      <c r="G40" s="1" t="s">
        <v>53</v>
      </c>
      <c r="H40" s="1" t="s">
        <v>54</v>
      </c>
      <c r="I40" s="1" t="s">
        <v>1041</v>
      </c>
      <c r="J40" s="2">
        <v>21</v>
      </c>
      <c r="K40" s="12">
        <v>25545.01</v>
      </c>
      <c r="L40" s="2">
        <v>21111.58</v>
      </c>
      <c r="M40" s="2">
        <v>0</v>
      </c>
      <c r="N40" s="12">
        <v>4433.43</v>
      </c>
      <c r="O40" s="2">
        <v>0</v>
      </c>
      <c r="P40" s="2">
        <v>0</v>
      </c>
      <c r="Q40" s="2">
        <v>0</v>
      </c>
      <c r="R40" s="2">
        <v>0</v>
      </c>
      <c r="S40" s="8" t="s">
        <v>1200</v>
      </c>
      <c r="T40" s="14" t="s">
        <v>328</v>
      </c>
      <c r="U40" s="10" t="s">
        <v>328</v>
      </c>
      <c r="V40" s="10" t="s">
        <v>328</v>
      </c>
      <c r="W40" s="1" t="s">
        <v>328</v>
      </c>
    </row>
    <row r="41" spans="1:23" x14ac:dyDescent="0.25">
      <c r="A41" s="1" t="s">
        <v>1039</v>
      </c>
      <c r="B41" s="1" t="s">
        <v>1040</v>
      </c>
      <c r="C41" s="1" t="s">
        <v>19</v>
      </c>
      <c r="D41" s="1">
        <v>30708442166</v>
      </c>
      <c r="E41" s="1" t="s">
        <v>20</v>
      </c>
      <c r="F41" s="1" t="s">
        <v>246</v>
      </c>
      <c r="G41" s="1" t="s">
        <v>53</v>
      </c>
      <c r="H41" s="1" t="s">
        <v>54</v>
      </c>
      <c r="I41" s="1" t="s">
        <v>1041</v>
      </c>
      <c r="J41" s="2">
        <v>0</v>
      </c>
      <c r="K41" s="12">
        <v>4454.9799999999996</v>
      </c>
      <c r="L41" s="2">
        <v>0</v>
      </c>
      <c r="M41" s="2">
        <v>4454.9799999999996</v>
      </c>
      <c r="N41" s="12">
        <v>0</v>
      </c>
      <c r="O41" s="2">
        <v>0</v>
      </c>
      <c r="P41" s="2">
        <v>0</v>
      </c>
      <c r="Q41" s="2">
        <v>0</v>
      </c>
      <c r="R41" s="2">
        <v>0</v>
      </c>
      <c r="S41" s="8" t="s">
        <v>1200</v>
      </c>
      <c r="T41" s="14" t="s">
        <v>328</v>
      </c>
      <c r="U41" s="10" t="s">
        <v>328</v>
      </c>
      <c r="V41" s="10" t="s">
        <v>328</v>
      </c>
      <c r="W41" s="1" t="s">
        <v>328</v>
      </c>
    </row>
    <row r="42" spans="1:23" x14ac:dyDescent="0.25">
      <c r="A42" s="1" t="s">
        <v>1042</v>
      </c>
      <c r="B42" s="1" t="s">
        <v>1043</v>
      </c>
      <c r="C42" s="1" t="s">
        <v>19</v>
      </c>
      <c r="D42" s="1">
        <v>30707394028</v>
      </c>
      <c r="E42" s="1" t="s">
        <v>20</v>
      </c>
      <c r="F42" s="1" t="s">
        <v>246</v>
      </c>
      <c r="G42" s="1" t="s">
        <v>53</v>
      </c>
      <c r="H42" s="1" t="s">
        <v>54</v>
      </c>
      <c r="I42" s="1" t="s">
        <v>1044</v>
      </c>
      <c r="J42" s="2">
        <v>21</v>
      </c>
      <c r="K42" s="12">
        <v>73899.460000000006</v>
      </c>
      <c r="L42" s="2">
        <v>61073.93</v>
      </c>
      <c r="M42" s="2">
        <v>0</v>
      </c>
      <c r="N42" s="12">
        <v>12825.53</v>
      </c>
      <c r="O42" s="2">
        <v>0</v>
      </c>
      <c r="P42" s="2">
        <v>0</v>
      </c>
      <c r="Q42" s="2">
        <v>0</v>
      </c>
      <c r="R42" s="2">
        <v>0</v>
      </c>
      <c r="S42" s="8" t="s">
        <v>1201</v>
      </c>
      <c r="T42" s="14" t="s">
        <v>328</v>
      </c>
      <c r="U42" s="10" t="s">
        <v>328</v>
      </c>
      <c r="V42" s="10" t="s">
        <v>328</v>
      </c>
      <c r="W42" s="1" t="s">
        <v>328</v>
      </c>
    </row>
    <row r="43" spans="1:23" x14ac:dyDescent="0.25">
      <c r="A43" s="1" t="s">
        <v>1042</v>
      </c>
      <c r="B43" s="1" t="s">
        <v>1043</v>
      </c>
      <c r="C43" s="1" t="s">
        <v>19</v>
      </c>
      <c r="D43" s="1">
        <v>30707394028</v>
      </c>
      <c r="E43" s="1" t="s">
        <v>20</v>
      </c>
      <c r="F43" s="1" t="s">
        <v>246</v>
      </c>
      <c r="G43" s="1" t="s">
        <v>53</v>
      </c>
      <c r="H43" s="1" t="s">
        <v>54</v>
      </c>
      <c r="I43" s="1" t="s">
        <v>1044</v>
      </c>
      <c r="J43" s="2">
        <v>0</v>
      </c>
      <c r="K43" s="12">
        <v>13099.68</v>
      </c>
      <c r="L43" s="2">
        <v>0</v>
      </c>
      <c r="M43" s="2">
        <v>13099.68</v>
      </c>
      <c r="N43" s="12">
        <v>0</v>
      </c>
      <c r="O43" s="2">
        <v>0</v>
      </c>
      <c r="P43" s="2">
        <v>0</v>
      </c>
      <c r="Q43" s="2">
        <v>0</v>
      </c>
      <c r="R43" s="2">
        <v>0</v>
      </c>
      <c r="S43" s="8" t="s">
        <v>1201</v>
      </c>
      <c r="T43" s="14" t="s">
        <v>328</v>
      </c>
      <c r="U43" s="10" t="s">
        <v>328</v>
      </c>
      <c r="V43" s="10" t="s">
        <v>328</v>
      </c>
      <c r="W43" s="1" t="s">
        <v>328</v>
      </c>
    </row>
    <row r="44" spans="1:23" x14ac:dyDescent="0.25">
      <c r="A44" s="1" t="s">
        <v>1045</v>
      </c>
      <c r="B44" s="1" t="s">
        <v>1046</v>
      </c>
      <c r="C44" s="1" t="s">
        <v>19</v>
      </c>
      <c r="D44" s="1">
        <v>30718634802</v>
      </c>
      <c r="E44" s="1" t="s">
        <v>20</v>
      </c>
      <c r="F44" s="1" t="s">
        <v>301</v>
      </c>
      <c r="G44" s="1" t="s">
        <v>53</v>
      </c>
      <c r="H44" s="1" t="s">
        <v>54</v>
      </c>
      <c r="I44" s="1" t="s">
        <v>1047</v>
      </c>
      <c r="J44" s="2">
        <v>21</v>
      </c>
      <c r="K44" s="12">
        <v>63700</v>
      </c>
      <c r="L44" s="2">
        <v>52644.63</v>
      </c>
      <c r="M44" s="2">
        <v>0</v>
      </c>
      <c r="N44" s="12">
        <v>11055.37</v>
      </c>
      <c r="O44" s="2">
        <v>0</v>
      </c>
      <c r="P44" s="2">
        <v>0</v>
      </c>
      <c r="Q44" s="2">
        <v>0</v>
      </c>
      <c r="R44" s="2">
        <v>0</v>
      </c>
      <c r="S44" s="8" t="s">
        <v>1202</v>
      </c>
      <c r="T44" s="14" t="s">
        <v>328</v>
      </c>
      <c r="U44" s="10" t="s">
        <v>328</v>
      </c>
      <c r="V44" s="10" t="s">
        <v>328</v>
      </c>
      <c r="W44" s="1" t="s">
        <v>328</v>
      </c>
    </row>
    <row r="45" spans="1:23" x14ac:dyDescent="0.25">
      <c r="A45" s="1" t="s">
        <v>1048</v>
      </c>
      <c r="B45" s="1" t="s">
        <v>62</v>
      </c>
      <c r="C45" s="1" t="s">
        <v>19</v>
      </c>
      <c r="D45" s="1">
        <v>20162895142</v>
      </c>
      <c r="E45" s="1" t="s">
        <v>20</v>
      </c>
      <c r="F45" s="1" t="s">
        <v>301</v>
      </c>
      <c r="G45" s="1" t="s">
        <v>53</v>
      </c>
      <c r="H45" s="1" t="s">
        <v>54</v>
      </c>
      <c r="I45" s="1" t="s">
        <v>1049</v>
      </c>
      <c r="J45" s="2">
        <v>21</v>
      </c>
      <c r="K45" s="12">
        <v>46200</v>
      </c>
      <c r="L45" s="2">
        <v>38181.82</v>
      </c>
      <c r="M45" s="2">
        <v>0</v>
      </c>
      <c r="N45" s="12">
        <v>8018.18</v>
      </c>
      <c r="O45" s="2">
        <v>0</v>
      </c>
      <c r="P45" s="2">
        <v>0</v>
      </c>
      <c r="Q45" s="2">
        <v>0</v>
      </c>
      <c r="R45" s="2">
        <v>0</v>
      </c>
      <c r="S45" s="8" t="s">
        <v>1203</v>
      </c>
      <c r="T45" s="14" t="s">
        <v>328</v>
      </c>
      <c r="U45" s="10" t="s">
        <v>328</v>
      </c>
      <c r="V45" s="10" t="s">
        <v>328</v>
      </c>
      <c r="W45" s="1" t="s">
        <v>328</v>
      </c>
    </row>
    <row r="46" spans="1:23" x14ac:dyDescent="0.25">
      <c r="A46" s="1" t="s">
        <v>1034</v>
      </c>
      <c r="B46" s="1" t="s">
        <v>250</v>
      </c>
      <c r="C46" s="1" t="s">
        <v>19</v>
      </c>
      <c r="D46" s="1">
        <v>20177699889</v>
      </c>
      <c r="E46" s="1" t="s">
        <v>20</v>
      </c>
      <c r="F46" s="1" t="s">
        <v>301</v>
      </c>
      <c r="G46" s="1" t="s">
        <v>53</v>
      </c>
      <c r="H46" s="1" t="s">
        <v>54</v>
      </c>
      <c r="I46" s="1" t="s">
        <v>1050</v>
      </c>
      <c r="J46" s="2">
        <v>21</v>
      </c>
      <c r="K46" s="12">
        <v>44000</v>
      </c>
      <c r="L46" s="2">
        <v>36363.64</v>
      </c>
      <c r="M46" s="2">
        <v>0</v>
      </c>
      <c r="N46" s="12">
        <v>7636.36</v>
      </c>
      <c r="O46" s="2">
        <v>0</v>
      </c>
      <c r="P46" s="2">
        <v>0</v>
      </c>
      <c r="Q46" s="2">
        <v>0</v>
      </c>
      <c r="R46" s="2">
        <v>0</v>
      </c>
      <c r="S46" s="8" t="s">
        <v>1204</v>
      </c>
      <c r="T46" s="14" t="s">
        <v>328</v>
      </c>
      <c r="U46" s="10" t="s">
        <v>328</v>
      </c>
      <c r="V46" s="10" t="s">
        <v>328</v>
      </c>
      <c r="W46" s="1" t="s">
        <v>328</v>
      </c>
    </row>
    <row r="47" spans="1:23" x14ac:dyDescent="0.25">
      <c r="A47" s="1" t="s">
        <v>1051</v>
      </c>
      <c r="B47" s="1" t="s">
        <v>1052</v>
      </c>
      <c r="C47" s="1" t="s">
        <v>19</v>
      </c>
      <c r="D47" s="1">
        <v>30530197413</v>
      </c>
      <c r="E47" s="1" t="s">
        <v>20</v>
      </c>
      <c r="F47" s="1" t="s">
        <v>301</v>
      </c>
      <c r="G47" s="1" t="s">
        <v>53</v>
      </c>
      <c r="H47" s="1" t="s">
        <v>54</v>
      </c>
      <c r="I47" s="1" t="s">
        <v>1053</v>
      </c>
      <c r="J47" s="2">
        <v>21</v>
      </c>
      <c r="K47" s="12">
        <v>11200</v>
      </c>
      <c r="L47" s="2">
        <v>9256.2000000000007</v>
      </c>
      <c r="M47" s="2">
        <v>0</v>
      </c>
      <c r="N47" s="12">
        <v>1943.8</v>
      </c>
      <c r="O47" s="2">
        <v>0</v>
      </c>
      <c r="P47" s="2">
        <v>0</v>
      </c>
      <c r="Q47" s="2">
        <v>0</v>
      </c>
      <c r="R47" s="2">
        <v>0</v>
      </c>
      <c r="S47" s="8" t="s">
        <v>1205</v>
      </c>
      <c r="T47" s="14" t="s">
        <v>328</v>
      </c>
      <c r="U47" s="10" t="s">
        <v>328</v>
      </c>
      <c r="V47" s="10" t="s">
        <v>328</v>
      </c>
      <c r="W47" s="1" t="s">
        <v>328</v>
      </c>
    </row>
    <row r="48" spans="1:23" x14ac:dyDescent="0.25">
      <c r="A48" s="1" t="s">
        <v>1051</v>
      </c>
      <c r="B48" s="1" t="s">
        <v>1052</v>
      </c>
      <c r="C48" s="1" t="s">
        <v>19</v>
      </c>
      <c r="D48" s="1">
        <v>30530197413</v>
      </c>
      <c r="E48" s="1" t="s">
        <v>20</v>
      </c>
      <c r="F48" s="1" t="s">
        <v>301</v>
      </c>
      <c r="G48" s="1" t="s">
        <v>53</v>
      </c>
      <c r="H48" s="1" t="s">
        <v>54</v>
      </c>
      <c r="I48" s="1" t="s">
        <v>1054</v>
      </c>
      <c r="J48" s="2">
        <v>21</v>
      </c>
      <c r="K48" s="12">
        <v>60540.55</v>
      </c>
      <c r="L48" s="2">
        <v>50033.51</v>
      </c>
      <c r="M48" s="2">
        <v>0</v>
      </c>
      <c r="N48" s="12">
        <v>10507.04</v>
      </c>
      <c r="O48" s="2">
        <v>0</v>
      </c>
      <c r="P48" s="2">
        <v>0</v>
      </c>
      <c r="Q48" s="2">
        <v>0</v>
      </c>
      <c r="R48" s="2">
        <v>0</v>
      </c>
      <c r="S48" s="8" t="s">
        <v>1206</v>
      </c>
      <c r="T48" s="14" t="s">
        <v>328</v>
      </c>
      <c r="U48" s="10" t="s">
        <v>328</v>
      </c>
      <c r="V48" s="10" t="s">
        <v>328</v>
      </c>
      <c r="W48" s="1" t="s">
        <v>328</v>
      </c>
    </row>
    <row r="49" spans="1:23" x14ac:dyDescent="0.25">
      <c r="A49" s="1" t="s">
        <v>1051</v>
      </c>
      <c r="B49" s="1" t="s">
        <v>1052</v>
      </c>
      <c r="C49" s="1" t="s">
        <v>19</v>
      </c>
      <c r="D49" s="1">
        <v>30530197413</v>
      </c>
      <c r="E49" s="1" t="s">
        <v>20</v>
      </c>
      <c r="F49" s="1" t="s">
        <v>301</v>
      </c>
      <c r="G49" s="1" t="s">
        <v>53</v>
      </c>
      <c r="H49" s="1" t="s">
        <v>54</v>
      </c>
      <c r="I49" s="1" t="s">
        <v>1054</v>
      </c>
      <c r="J49" s="2">
        <v>0</v>
      </c>
      <c r="K49" s="12">
        <v>5473.78</v>
      </c>
      <c r="L49" s="2">
        <v>0</v>
      </c>
      <c r="M49" s="2">
        <v>5473.78</v>
      </c>
      <c r="N49" s="12">
        <v>0</v>
      </c>
      <c r="O49" s="2">
        <v>0</v>
      </c>
      <c r="P49" s="2">
        <v>0</v>
      </c>
      <c r="Q49" s="2">
        <v>0</v>
      </c>
      <c r="R49" s="2">
        <v>0</v>
      </c>
      <c r="S49" s="8" t="s">
        <v>1206</v>
      </c>
      <c r="T49" s="14" t="s">
        <v>328</v>
      </c>
      <c r="U49" s="10" t="s">
        <v>328</v>
      </c>
      <c r="V49" s="10" t="s">
        <v>328</v>
      </c>
      <c r="W49" s="1" t="s">
        <v>328</v>
      </c>
    </row>
    <row r="50" spans="1:23" x14ac:dyDescent="0.25">
      <c r="A50" s="1" t="s">
        <v>1055</v>
      </c>
      <c r="B50" s="1" t="s">
        <v>1056</v>
      </c>
      <c r="C50" s="1" t="s">
        <v>19</v>
      </c>
      <c r="D50" s="1">
        <v>30668473241</v>
      </c>
      <c r="E50" s="1" t="s">
        <v>20</v>
      </c>
      <c r="F50" s="1" t="s">
        <v>301</v>
      </c>
      <c r="G50" s="1" t="s">
        <v>53</v>
      </c>
      <c r="H50" s="1" t="s">
        <v>54</v>
      </c>
      <c r="I50" s="1" t="s">
        <v>1057</v>
      </c>
      <c r="J50" s="2">
        <v>21</v>
      </c>
      <c r="K50" s="12">
        <v>62052.07</v>
      </c>
      <c r="L50" s="2">
        <v>51282.7</v>
      </c>
      <c r="M50" s="2">
        <v>0</v>
      </c>
      <c r="N50" s="12">
        <v>10769.37</v>
      </c>
      <c r="O50" s="2">
        <v>0</v>
      </c>
      <c r="P50" s="2">
        <v>0</v>
      </c>
      <c r="Q50" s="2">
        <v>0</v>
      </c>
      <c r="R50" s="2">
        <v>0</v>
      </c>
      <c r="S50" s="8" t="s">
        <v>1207</v>
      </c>
      <c r="T50" s="14" t="s">
        <v>328</v>
      </c>
      <c r="U50" s="10" t="s">
        <v>328</v>
      </c>
      <c r="V50" s="10" t="s">
        <v>328</v>
      </c>
      <c r="W50" s="1" t="s">
        <v>328</v>
      </c>
    </row>
    <row r="51" spans="1:23" x14ac:dyDescent="0.25">
      <c r="A51" s="1" t="s">
        <v>1055</v>
      </c>
      <c r="B51" s="1" t="s">
        <v>1056</v>
      </c>
      <c r="C51" s="1" t="s">
        <v>19</v>
      </c>
      <c r="D51" s="1">
        <v>30668473241</v>
      </c>
      <c r="E51" s="1" t="s">
        <v>20</v>
      </c>
      <c r="F51" s="1" t="s">
        <v>301</v>
      </c>
      <c r="G51" s="1" t="s">
        <v>53</v>
      </c>
      <c r="H51" s="1" t="s">
        <v>54</v>
      </c>
      <c r="I51" s="1" t="s">
        <v>1057</v>
      </c>
      <c r="J51" s="2">
        <v>0</v>
      </c>
      <c r="K51" s="12">
        <v>7953</v>
      </c>
      <c r="L51" s="2">
        <v>0</v>
      </c>
      <c r="M51" s="2">
        <v>7953</v>
      </c>
      <c r="N51" s="12">
        <v>0</v>
      </c>
      <c r="O51" s="2">
        <v>0</v>
      </c>
      <c r="P51" s="2">
        <v>0</v>
      </c>
      <c r="Q51" s="2">
        <v>0</v>
      </c>
      <c r="R51" s="2">
        <v>0</v>
      </c>
      <c r="S51" s="8" t="s">
        <v>1207</v>
      </c>
      <c r="T51" s="14" t="s">
        <v>328</v>
      </c>
      <c r="U51" s="10" t="s">
        <v>328</v>
      </c>
      <c r="V51" s="10" t="s">
        <v>328</v>
      </c>
      <c r="W51" s="1" t="s">
        <v>328</v>
      </c>
    </row>
    <row r="52" spans="1:23" x14ac:dyDescent="0.25">
      <c r="A52" s="1" t="s">
        <v>1058</v>
      </c>
      <c r="B52" s="1" t="s">
        <v>1059</v>
      </c>
      <c r="C52" s="1" t="s">
        <v>19</v>
      </c>
      <c r="D52" s="1">
        <v>30717843777</v>
      </c>
      <c r="E52" s="1" t="s">
        <v>20</v>
      </c>
      <c r="F52" s="1" t="s">
        <v>247</v>
      </c>
      <c r="G52" s="1" t="s">
        <v>53</v>
      </c>
      <c r="H52" s="1" t="s">
        <v>54</v>
      </c>
      <c r="I52" s="1" t="s">
        <v>1060</v>
      </c>
      <c r="J52" s="2">
        <v>21</v>
      </c>
      <c r="K52" s="12">
        <v>72499.929999999993</v>
      </c>
      <c r="L52" s="2">
        <v>59917.3</v>
      </c>
      <c r="M52" s="2">
        <v>0</v>
      </c>
      <c r="N52" s="12">
        <v>12582.63</v>
      </c>
      <c r="O52" s="2">
        <v>0</v>
      </c>
      <c r="P52" s="2">
        <v>0</v>
      </c>
      <c r="Q52" s="2">
        <v>0</v>
      </c>
      <c r="R52" s="2">
        <v>0</v>
      </c>
      <c r="S52" s="8" t="s">
        <v>1208</v>
      </c>
      <c r="T52" s="14" t="s">
        <v>328</v>
      </c>
      <c r="U52" s="10" t="s">
        <v>328</v>
      </c>
      <c r="V52" s="10" t="s">
        <v>328</v>
      </c>
      <c r="W52" s="1" t="s">
        <v>328</v>
      </c>
    </row>
    <row r="53" spans="1:23" x14ac:dyDescent="0.25">
      <c r="A53" s="1" t="s">
        <v>1058</v>
      </c>
      <c r="B53" s="1" t="s">
        <v>1059</v>
      </c>
      <c r="C53" s="1" t="s">
        <v>19</v>
      </c>
      <c r="D53" s="1">
        <v>30717843777</v>
      </c>
      <c r="E53" s="1" t="s">
        <v>20</v>
      </c>
      <c r="F53" s="1" t="s">
        <v>247</v>
      </c>
      <c r="G53" s="1" t="s">
        <v>53</v>
      </c>
      <c r="H53" s="1" t="s">
        <v>54</v>
      </c>
      <c r="I53" s="1" t="s">
        <v>1060</v>
      </c>
      <c r="J53" s="2">
        <v>0</v>
      </c>
      <c r="K53" s="12">
        <v>0.08</v>
      </c>
      <c r="L53" s="2">
        <v>0</v>
      </c>
      <c r="M53" s="2">
        <v>0.08</v>
      </c>
      <c r="N53" s="12">
        <v>0</v>
      </c>
      <c r="O53" s="2">
        <v>0</v>
      </c>
      <c r="P53" s="2">
        <v>0</v>
      </c>
      <c r="Q53" s="2">
        <v>0</v>
      </c>
      <c r="R53" s="2">
        <v>0</v>
      </c>
      <c r="S53" s="8" t="s">
        <v>1208</v>
      </c>
      <c r="T53" s="14" t="s">
        <v>328</v>
      </c>
      <c r="U53" s="10" t="s">
        <v>328</v>
      </c>
      <c r="V53" s="10" t="s">
        <v>328</v>
      </c>
      <c r="W53" s="1" t="s">
        <v>328</v>
      </c>
    </row>
    <row r="54" spans="1:23" x14ac:dyDescent="0.25">
      <c r="A54" s="1" t="s">
        <v>1061</v>
      </c>
      <c r="B54" s="1" t="s">
        <v>1062</v>
      </c>
      <c r="C54" s="1" t="s">
        <v>19</v>
      </c>
      <c r="D54" s="1">
        <v>33717507059</v>
      </c>
      <c r="E54" s="1" t="s">
        <v>20</v>
      </c>
      <c r="F54" s="1" t="s">
        <v>247</v>
      </c>
      <c r="G54" s="1" t="s">
        <v>53</v>
      </c>
      <c r="H54" s="1" t="s">
        <v>54</v>
      </c>
      <c r="I54" s="1" t="s">
        <v>1063</v>
      </c>
      <c r="J54" s="2">
        <v>21</v>
      </c>
      <c r="K54" s="12">
        <v>36540.25</v>
      </c>
      <c r="L54" s="2">
        <v>30198.55</v>
      </c>
      <c r="M54" s="2">
        <v>0</v>
      </c>
      <c r="N54" s="12">
        <v>6341.7</v>
      </c>
      <c r="O54" s="2">
        <v>0</v>
      </c>
      <c r="P54" s="2">
        <v>0</v>
      </c>
      <c r="Q54" s="2">
        <v>0</v>
      </c>
      <c r="R54" s="2">
        <v>0</v>
      </c>
      <c r="S54" s="8" t="s">
        <v>1209</v>
      </c>
      <c r="T54" s="14" t="s">
        <v>328</v>
      </c>
      <c r="U54" s="10" t="s">
        <v>328</v>
      </c>
      <c r="V54" s="10" t="s">
        <v>328</v>
      </c>
      <c r="W54" s="1" t="s">
        <v>328</v>
      </c>
    </row>
    <row r="55" spans="1:23" x14ac:dyDescent="0.25">
      <c r="A55" s="1" t="s">
        <v>1061</v>
      </c>
      <c r="B55" s="1" t="s">
        <v>1062</v>
      </c>
      <c r="C55" s="1" t="s">
        <v>19</v>
      </c>
      <c r="D55" s="1">
        <v>33717507059</v>
      </c>
      <c r="E55" s="1" t="s">
        <v>20</v>
      </c>
      <c r="F55" s="1" t="s">
        <v>247</v>
      </c>
      <c r="G55" s="1" t="s">
        <v>53</v>
      </c>
      <c r="H55" s="1" t="s">
        <v>54</v>
      </c>
      <c r="I55" s="1" t="s">
        <v>1063</v>
      </c>
      <c r="J55" s="2">
        <v>0</v>
      </c>
      <c r="K55" s="12">
        <v>159.75</v>
      </c>
      <c r="L55" s="2">
        <v>0</v>
      </c>
      <c r="M55" s="2">
        <v>159.75</v>
      </c>
      <c r="N55" s="12">
        <v>0</v>
      </c>
      <c r="O55" s="2">
        <v>0</v>
      </c>
      <c r="P55" s="2">
        <v>0</v>
      </c>
      <c r="Q55" s="2">
        <v>0</v>
      </c>
      <c r="R55" s="2">
        <v>0</v>
      </c>
      <c r="S55" s="8" t="s">
        <v>1209</v>
      </c>
      <c r="T55" s="14" t="s">
        <v>328</v>
      </c>
      <c r="U55" s="10" t="s">
        <v>328</v>
      </c>
      <c r="V55" s="10" t="s">
        <v>328</v>
      </c>
      <c r="W55" s="1" t="s">
        <v>328</v>
      </c>
    </row>
    <row r="56" spans="1:23" x14ac:dyDescent="0.25">
      <c r="A56" s="1" t="s">
        <v>1064</v>
      </c>
      <c r="B56" s="1" t="s">
        <v>1065</v>
      </c>
      <c r="C56" s="1" t="s">
        <v>19</v>
      </c>
      <c r="D56" s="1">
        <v>27181146317</v>
      </c>
      <c r="E56" s="1" t="s">
        <v>63</v>
      </c>
      <c r="F56" s="1" t="s">
        <v>247</v>
      </c>
      <c r="G56" s="1" t="s">
        <v>53</v>
      </c>
      <c r="H56" s="1" t="s">
        <v>59</v>
      </c>
      <c r="I56" s="1" t="s">
        <v>1066</v>
      </c>
      <c r="J56" s="2">
        <v>21</v>
      </c>
      <c r="K56" s="12">
        <v>89219.23</v>
      </c>
      <c r="L56" s="2">
        <v>73734.899999999994</v>
      </c>
      <c r="M56" s="2">
        <v>0</v>
      </c>
      <c r="N56" s="12">
        <v>15484.33</v>
      </c>
      <c r="O56" s="2">
        <v>0</v>
      </c>
      <c r="P56" s="2">
        <v>0</v>
      </c>
      <c r="Q56" s="2">
        <v>0</v>
      </c>
      <c r="R56" s="2">
        <v>0</v>
      </c>
      <c r="S56" s="8" t="s">
        <v>1210</v>
      </c>
      <c r="T56" s="14" t="s">
        <v>328</v>
      </c>
      <c r="U56" s="10" t="s">
        <v>328</v>
      </c>
      <c r="V56" s="10" t="s">
        <v>328</v>
      </c>
      <c r="W56" s="1" t="s">
        <v>328</v>
      </c>
    </row>
    <row r="57" spans="1:23" x14ac:dyDescent="0.25">
      <c r="A57" s="1" t="s">
        <v>1064</v>
      </c>
      <c r="B57" s="1" t="s">
        <v>1065</v>
      </c>
      <c r="C57" s="1" t="s">
        <v>19</v>
      </c>
      <c r="D57" s="1">
        <v>27181146317</v>
      </c>
      <c r="E57" s="1" t="s">
        <v>63</v>
      </c>
      <c r="F57" s="1" t="s">
        <v>247</v>
      </c>
      <c r="G57" s="1" t="s">
        <v>53</v>
      </c>
      <c r="H57" s="1" t="s">
        <v>59</v>
      </c>
      <c r="I57" s="1" t="s">
        <v>1066</v>
      </c>
      <c r="J57" s="2">
        <v>0</v>
      </c>
      <c r="K57" s="12">
        <v>10780.77</v>
      </c>
      <c r="L57" s="2">
        <v>0</v>
      </c>
      <c r="M57" s="2">
        <v>10780.77</v>
      </c>
      <c r="N57" s="12">
        <v>0</v>
      </c>
      <c r="O57" s="2">
        <v>0</v>
      </c>
      <c r="P57" s="2">
        <v>0</v>
      </c>
      <c r="Q57" s="2">
        <v>0</v>
      </c>
      <c r="R57" s="2">
        <v>0</v>
      </c>
      <c r="S57" s="8" t="s">
        <v>1210</v>
      </c>
      <c r="T57" s="14" t="s">
        <v>328</v>
      </c>
      <c r="U57" s="10" t="s">
        <v>328</v>
      </c>
      <c r="V57" s="10" t="s">
        <v>328</v>
      </c>
      <c r="W57" s="1" t="s">
        <v>328</v>
      </c>
    </row>
    <row r="58" spans="1:23" x14ac:dyDescent="0.25">
      <c r="A58" s="1" t="s">
        <v>1067</v>
      </c>
      <c r="B58" s="1" t="s">
        <v>1068</v>
      </c>
      <c r="C58" s="1" t="s">
        <v>19</v>
      </c>
      <c r="D58" s="1">
        <v>30718158210</v>
      </c>
      <c r="E58" s="1" t="s">
        <v>20</v>
      </c>
      <c r="F58" s="1" t="s">
        <v>248</v>
      </c>
      <c r="G58" s="1" t="s">
        <v>53</v>
      </c>
      <c r="H58" s="1" t="s">
        <v>54</v>
      </c>
      <c r="I58" s="1" t="s">
        <v>1069</v>
      </c>
      <c r="J58" s="2">
        <v>21</v>
      </c>
      <c r="K58" s="12">
        <v>84200</v>
      </c>
      <c r="L58" s="2">
        <v>69586.78</v>
      </c>
      <c r="M58" s="2">
        <v>0</v>
      </c>
      <c r="N58" s="12">
        <v>14613.22</v>
      </c>
      <c r="O58" s="2">
        <v>0</v>
      </c>
      <c r="P58" s="2">
        <v>0</v>
      </c>
      <c r="Q58" s="2">
        <v>0</v>
      </c>
      <c r="R58" s="2">
        <v>0</v>
      </c>
      <c r="S58" s="8" t="s">
        <v>1211</v>
      </c>
      <c r="T58" s="14" t="s">
        <v>328</v>
      </c>
      <c r="U58" s="10" t="s">
        <v>328</v>
      </c>
      <c r="V58" s="10" t="s">
        <v>328</v>
      </c>
      <c r="W58" s="1" t="s">
        <v>328</v>
      </c>
    </row>
    <row r="59" spans="1:23" x14ac:dyDescent="0.25">
      <c r="A59" s="1" t="s">
        <v>426</v>
      </c>
      <c r="B59" s="1" t="s">
        <v>427</v>
      </c>
      <c r="C59" s="1" t="s">
        <v>19</v>
      </c>
      <c r="D59" s="1">
        <v>30703088534</v>
      </c>
      <c r="E59" s="1" t="s">
        <v>20</v>
      </c>
      <c r="F59" s="1" t="s">
        <v>248</v>
      </c>
      <c r="G59" s="1" t="s">
        <v>53</v>
      </c>
      <c r="H59" s="1" t="s">
        <v>54</v>
      </c>
      <c r="I59" s="1" t="s">
        <v>428</v>
      </c>
      <c r="J59" s="2">
        <v>21</v>
      </c>
      <c r="K59" s="12">
        <v>1715105.64</v>
      </c>
      <c r="L59" s="2">
        <v>1383149.71</v>
      </c>
      <c r="M59" s="2">
        <v>0</v>
      </c>
      <c r="N59" s="12">
        <v>290461.44</v>
      </c>
      <c r="O59" s="2">
        <v>41494.49</v>
      </c>
      <c r="P59" s="2">
        <v>0</v>
      </c>
      <c r="Q59" s="2">
        <v>0</v>
      </c>
      <c r="R59" s="2">
        <v>0</v>
      </c>
      <c r="S59" s="8" t="s">
        <v>971</v>
      </c>
      <c r="T59" s="14" t="s">
        <v>328</v>
      </c>
      <c r="U59" s="10" t="s">
        <v>328</v>
      </c>
      <c r="V59" s="10" t="s">
        <v>328</v>
      </c>
      <c r="W59" s="1" t="s">
        <v>328</v>
      </c>
    </row>
    <row r="60" spans="1:23" x14ac:dyDescent="0.25">
      <c r="A60" s="1" t="s">
        <v>1031</v>
      </c>
      <c r="B60" s="1" t="s">
        <v>1032</v>
      </c>
      <c r="C60" s="1" t="s">
        <v>19</v>
      </c>
      <c r="D60" s="1">
        <v>20183925599</v>
      </c>
      <c r="E60" s="1" t="s">
        <v>20</v>
      </c>
      <c r="F60" s="1" t="s">
        <v>307</v>
      </c>
      <c r="G60" s="1" t="s">
        <v>53</v>
      </c>
      <c r="H60" s="1" t="s">
        <v>54</v>
      </c>
      <c r="I60" s="1" t="s">
        <v>1070</v>
      </c>
      <c r="J60" s="2">
        <v>21</v>
      </c>
      <c r="K60" s="12">
        <v>44800.25</v>
      </c>
      <c r="L60" s="2">
        <v>37025</v>
      </c>
      <c r="M60" s="2">
        <v>0</v>
      </c>
      <c r="N60" s="12">
        <v>7775.25</v>
      </c>
      <c r="O60" s="2">
        <v>0</v>
      </c>
      <c r="P60" s="2">
        <v>0</v>
      </c>
      <c r="Q60" s="2">
        <v>0</v>
      </c>
      <c r="R60" s="2">
        <v>0</v>
      </c>
      <c r="S60" s="8" t="s">
        <v>1212</v>
      </c>
      <c r="T60" s="14" t="s">
        <v>328</v>
      </c>
      <c r="U60" s="10" t="s">
        <v>328</v>
      </c>
      <c r="V60" s="10" t="s">
        <v>328</v>
      </c>
      <c r="W60" s="1" t="s">
        <v>328</v>
      </c>
    </row>
    <row r="61" spans="1:23" x14ac:dyDescent="0.25">
      <c r="A61" s="1" t="s">
        <v>1071</v>
      </c>
      <c r="B61" s="1" t="s">
        <v>1072</v>
      </c>
      <c r="C61" s="1" t="s">
        <v>19</v>
      </c>
      <c r="D61" s="1">
        <v>30718330498</v>
      </c>
      <c r="E61" s="1" t="s">
        <v>20</v>
      </c>
      <c r="F61" s="1" t="s">
        <v>307</v>
      </c>
      <c r="G61" s="1" t="s">
        <v>53</v>
      </c>
      <c r="H61" s="1" t="s">
        <v>54</v>
      </c>
      <c r="I61" s="1" t="s">
        <v>1073</v>
      </c>
      <c r="J61" s="2">
        <v>21</v>
      </c>
      <c r="K61" s="12">
        <v>90500</v>
      </c>
      <c r="L61" s="2">
        <v>74793.39</v>
      </c>
      <c r="M61" s="2">
        <v>0</v>
      </c>
      <c r="N61" s="12">
        <v>15706.61</v>
      </c>
      <c r="O61" s="2">
        <v>0</v>
      </c>
      <c r="P61" s="2">
        <v>0</v>
      </c>
      <c r="Q61" s="2">
        <v>0</v>
      </c>
      <c r="R61" s="2">
        <v>0</v>
      </c>
      <c r="S61" s="8" t="s">
        <v>1213</v>
      </c>
      <c r="T61" s="14" t="s">
        <v>328</v>
      </c>
      <c r="U61" s="10" t="s">
        <v>328</v>
      </c>
      <c r="V61" s="10" t="s">
        <v>328</v>
      </c>
      <c r="W61" s="1" t="s">
        <v>328</v>
      </c>
    </row>
    <row r="62" spans="1:23" x14ac:dyDescent="0.25">
      <c r="A62" s="1" t="s">
        <v>137</v>
      </c>
      <c r="B62" s="1" t="s">
        <v>138</v>
      </c>
      <c r="C62" s="1" t="s">
        <v>19</v>
      </c>
      <c r="D62" s="1">
        <v>23066238849</v>
      </c>
      <c r="E62" s="1" t="s">
        <v>20</v>
      </c>
      <c r="F62" s="1" t="s">
        <v>307</v>
      </c>
      <c r="G62" s="1" t="s">
        <v>53</v>
      </c>
      <c r="H62" s="1" t="s">
        <v>54</v>
      </c>
      <c r="I62" s="1" t="s">
        <v>1074</v>
      </c>
      <c r="J62" s="2">
        <v>21</v>
      </c>
      <c r="K62" s="12">
        <v>40000</v>
      </c>
      <c r="L62" s="2">
        <v>33057.85</v>
      </c>
      <c r="M62" s="2">
        <v>0</v>
      </c>
      <c r="N62" s="12">
        <v>6942.15</v>
      </c>
      <c r="O62" s="2">
        <v>0</v>
      </c>
      <c r="P62" s="2">
        <v>0</v>
      </c>
      <c r="Q62" s="2">
        <v>0</v>
      </c>
      <c r="R62" s="2">
        <v>0</v>
      </c>
      <c r="S62" s="8" t="s">
        <v>1214</v>
      </c>
      <c r="T62" s="14" t="s">
        <v>328</v>
      </c>
      <c r="U62" s="10" t="s">
        <v>328</v>
      </c>
      <c r="V62" s="10" t="s">
        <v>328</v>
      </c>
      <c r="W62" s="1" t="s">
        <v>328</v>
      </c>
    </row>
    <row r="63" spans="1:23" x14ac:dyDescent="0.25">
      <c r="A63" s="1" t="s">
        <v>60</v>
      </c>
      <c r="B63" s="1" t="s">
        <v>61</v>
      </c>
      <c r="C63" s="1" t="s">
        <v>19</v>
      </c>
      <c r="D63" s="1">
        <v>30715706934</v>
      </c>
      <c r="E63" s="1" t="s">
        <v>20</v>
      </c>
      <c r="F63" s="1" t="s">
        <v>307</v>
      </c>
      <c r="G63" s="1" t="s">
        <v>53</v>
      </c>
      <c r="H63" s="1" t="s">
        <v>54</v>
      </c>
      <c r="I63" s="1" t="s">
        <v>429</v>
      </c>
      <c r="J63" s="2">
        <v>21</v>
      </c>
      <c r="K63" s="12">
        <v>56594.86</v>
      </c>
      <c r="L63" s="2">
        <v>46772.61</v>
      </c>
      <c r="M63" s="2">
        <v>0</v>
      </c>
      <c r="N63" s="12">
        <v>9822.25</v>
      </c>
      <c r="O63" s="2">
        <v>0</v>
      </c>
      <c r="P63" s="2">
        <v>0</v>
      </c>
      <c r="Q63" s="2">
        <v>0</v>
      </c>
      <c r="R63" s="2">
        <v>0</v>
      </c>
      <c r="S63" s="8" t="s">
        <v>972</v>
      </c>
      <c r="T63" s="14" t="s">
        <v>328</v>
      </c>
      <c r="U63" s="10" t="s">
        <v>328</v>
      </c>
      <c r="V63" s="10" t="s">
        <v>328</v>
      </c>
      <c r="W63" s="1" t="s">
        <v>328</v>
      </c>
    </row>
    <row r="64" spans="1:23" x14ac:dyDescent="0.25">
      <c r="A64" s="1" t="s">
        <v>60</v>
      </c>
      <c r="B64" s="1" t="s">
        <v>61</v>
      </c>
      <c r="C64" s="1" t="s">
        <v>19</v>
      </c>
      <c r="D64" s="1">
        <v>30715706934</v>
      </c>
      <c r="E64" s="1" t="s">
        <v>20</v>
      </c>
      <c r="F64" s="1" t="s">
        <v>307</v>
      </c>
      <c r="G64" s="1" t="s">
        <v>53</v>
      </c>
      <c r="H64" s="1" t="s">
        <v>54</v>
      </c>
      <c r="I64" s="1" t="s">
        <v>429</v>
      </c>
      <c r="J64" s="2">
        <v>0</v>
      </c>
      <c r="K64" s="12">
        <v>12459.15</v>
      </c>
      <c r="L64" s="2">
        <v>0</v>
      </c>
      <c r="M64" s="2">
        <v>12459.15</v>
      </c>
      <c r="N64" s="12">
        <v>0</v>
      </c>
      <c r="O64" s="2">
        <v>0</v>
      </c>
      <c r="P64" s="2">
        <v>0</v>
      </c>
      <c r="Q64" s="2">
        <v>0</v>
      </c>
      <c r="R64" s="2">
        <v>0</v>
      </c>
      <c r="S64" s="8" t="s">
        <v>972</v>
      </c>
      <c r="T64" s="14" t="s">
        <v>328</v>
      </c>
      <c r="U64" s="10" t="s">
        <v>328</v>
      </c>
      <c r="V64" s="10" t="s">
        <v>328</v>
      </c>
      <c r="W64" s="1" t="s">
        <v>328</v>
      </c>
    </row>
    <row r="65" spans="1:23" x14ac:dyDescent="0.25">
      <c r="A65" s="1" t="s">
        <v>60</v>
      </c>
      <c r="B65" s="1" t="s">
        <v>61</v>
      </c>
      <c r="C65" s="1" t="s">
        <v>19</v>
      </c>
      <c r="D65" s="1">
        <v>30715706934</v>
      </c>
      <c r="E65" s="1" t="s">
        <v>20</v>
      </c>
      <c r="F65" s="1" t="s">
        <v>307</v>
      </c>
      <c r="G65" s="1" t="s">
        <v>53</v>
      </c>
      <c r="H65" s="1" t="s">
        <v>54</v>
      </c>
      <c r="I65" s="1" t="s">
        <v>430</v>
      </c>
      <c r="J65" s="2">
        <v>21</v>
      </c>
      <c r="K65" s="12">
        <v>8734.98</v>
      </c>
      <c r="L65" s="2">
        <v>7218.99</v>
      </c>
      <c r="M65" s="2">
        <v>0</v>
      </c>
      <c r="N65" s="12">
        <v>1515.99</v>
      </c>
      <c r="O65" s="2">
        <v>0</v>
      </c>
      <c r="P65" s="2">
        <v>0</v>
      </c>
      <c r="Q65" s="2">
        <v>0</v>
      </c>
      <c r="R65" s="2">
        <v>0</v>
      </c>
      <c r="S65" s="8" t="s">
        <v>973</v>
      </c>
      <c r="T65" s="14" t="s">
        <v>328</v>
      </c>
      <c r="U65" s="10" t="s">
        <v>328</v>
      </c>
      <c r="V65" s="10" t="s">
        <v>328</v>
      </c>
      <c r="W65" s="1" t="s">
        <v>328</v>
      </c>
    </row>
    <row r="66" spans="1:23" x14ac:dyDescent="0.25">
      <c r="A66" s="1" t="s">
        <v>60</v>
      </c>
      <c r="B66" s="1" t="s">
        <v>61</v>
      </c>
      <c r="C66" s="1" t="s">
        <v>19</v>
      </c>
      <c r="D66" s="1">
        <v>30715706934</v>
      </c>
      <c r="E66" s="1" t="s">
        <v>20</v>
      </c>
      <c r="F66" s="1" t="s">
        <v>307</v>
      </c>
      <c r="G66" s="1" t="s">
        <v>53</v>
      </c>
      <c r="H66" s="1" t="s">
        <v>54</v>
      </c>
      <c r="I66" s="1" t="s">
        <v>430</v>
      </c>
      <c r="J66" s="2">
        <v>0</v>
      </c>
      <c r="K66" s="12">
        <v>30.02</v>
      </c>
      <c r="L66" s="2">
        <v>0</v>
      </c>
      <c r="M66" s="2">
        <v>30.02</v>
      </c>
      <c r="N66" s="12">
        <v>0</v>
      </c>
      <c r="O66" s="2">
        <v>0</v>
      </c>
      <c r="P66" s="2">
        <v>0</v>
      </c>
      <c r="Q66" s="2">
        <v>0</v>
      </c>
      <c r="R66" s="2">
        <v>0</v>
      </c>
      <c r="S66" s="8" t="s">
        <v>973</v>
      </c>
      <c r="T66" s="14" t="s">
        <v>328</v>
      </c>
      <c r="U66" s="10" t="s">
        <v>328</v>
      </c>
      <c r="V66" s="10" t="s">
        <v>328</v>
      </c>
      <c r="W66" s="1" t="s">
        <v>328</v>
      </c>
    </row>
    <row r="67" spans="1:23" x14ac:dyDescent="0.25">
      <c r="A67" s="1" t="s">
        <v>33</v>
      </c>
      <c r="B67" s="1" t="s">
        <v>34</v>
      </c>
      <c r="C67" s="1" t="s">
        <v>19</v>
      </c>
      <c r="D67" s="1">
        <v>33708336969</v>
      </c>
      <c r="E67" s="1" t="s">
        <v>20</v>
      </c>
      <c r="F67" s="1" t="s">
        <v>307</v>
      </c>
      <c r="G67" s="1" t="s">
        <v>53</v>
      </c>
      <c r="H67" s="1" t="s">
        <v>54</v>
      </c>
      <c r="I67" s="1" t="s">
        <v>431</v>
      </c>
      <c r="J67" s="2">
        <v>21</v>
      </c>
      <c r="K67" s="12">
        <v>7066.1</v>
      </c>
      <c r="L67" s="2">
        <v>5839.75</v>
      </c>
      <c r="M67" s="2">
        <v>0</v>
      </c>
      <c r="N67" s="12">
        <v>1226.3499999999999</v>
      </c>
      <c r="O67" s="2">
        <v>0</v>
      </c>
      <c r="P67" s="2">
        <v>0</v>
      </c>
      <c r="Q67" s="2">
        <v>0</v>
      </c>
      <c r="R67" s="2">
        <v>0</v>
      </c>
      <c r="S67" s="8" t="s">
        <v>974</v>
      </c>
      <c r="T67" s="14" t="s">
        <v>328</v>
      </c>
      <c r="U67" s="10" t="s">
        <v>328</v>
      </c>
      <c r="V67" s="10" t="s">
        <v>328</v>
      </c>
      <c r="W67" s="1" t="s">
        <v>328</v>
      </c>
    </row>
    <row r="68" spans="1:23" x14ac:dyDescent="0.25">
      <c r="A68" s="1" t="s">
        <v>33</v>
      </c>
      <c r="B68" s="1" t="s">
        <v>34</v>
      </c>
      <c r="C68" s="1" t="s">
        <v>19</v>
      </c>
      <c r="D68" s="1">
        <v>33708336969</v>
      </c>
      <c r="E68" s="1" t="s">
        <v>20</v>
      </c>
      <c r="F68" s="1" t="s">
        <v>307</v>
      </c>
      <c r="G68" s="1" t="s">
        <v>53</v>
      </c>
      <c r="H68" s="1" t="s">
        <v>54</v>
      </c>
      <c r="I68" s="1" t="s">
        <v>431</v>
      </c>
      <c r="J68" s="2">
        <v>0</v>
      </c>
      <c r="K68" s="12">
        <v>33.9</v>
      </c>
      <c r="L68" s="2">
        <v>0</v>
      </c>
      <c r="M68" s="2">
        <v>33.9</v>
      </c>
      <c r="N68" s="12">
        <v>0</v>
      </c>
      <c r="O68" s="2">
        <v>0</v>
      </c>
      <c r="P68" s="2">
        <v>0</v>
      </c>
      <c r="Q68" s="2">
        <v>0</v>
      </c>
      <c r="R68" s="2">
        <v>0</v>
      </c>
      <c r="S68" s="8" t="s">
        <v>974</v>
      </c>
      <c r="T68" s="14" t="s">
        <v>328</v>
      </c>
      <c r="U68" s="10" t="s">
        <v>328</v>
      </c>
      <c r="V68" s="10" t="s">
        <v>328</v>
      </c>
      <c r="W68" s="1" t="s">
        <v>328</v>
      </c>
    </row>
    <row r="69" spans="1:23" x14ac:dyDescent="0.25">
      <c r="A69" s="1" t="s">
        <v>1036</v>
      </c>
      <c r="B69" s="1" t="s">
        <v>323</v>
      </c>
      <c r="C69" s="1" t="s">
        <v>19</v>
      </c>
      <c r="D69" s="1">
        <v>30698548289</v>
      </c>
      <c r="E69" s="1" t="s">
        <v>20</v>
      </c>
      <c r="F69" s="1" t="s">
        <v>307</v>
      </c>
      <c r="G69" s="1" t="s">
        <v>53</v>
      </c>
      <c r="H69" s="1" t="s">
        <v>54</v>
      </c>
      <c r="I69" s="1" t="s">
        <v>1075</v>
      </c>
      <c r="J69" s="2">
        <v>21</v>
      </c>
      <c r="K69" s="12">
        <v>87958.34</v>
      </c>
      <c r="L69" s="2">
        <v>72692.84</v>
      </c>
      <c r="M69" s="2">
        <v>0</v>
      </c>
      <c r="N69" s="12">
        <v>15265.5</v>
      </c>
      <c r="O69" s="2">
        <v>0</v>
      </c>
      <c r="P69" s="2">
        <v>0</v>
      </c>
      <c r="Q69" s="2">
        <v>0</v>
      </c>
      <c r="R69" s="2">
        <v>0</v>
      </c>
      <c r="S69" s="8" t="s">
        <v>1215</v>
      </c>
      <c r="T69" s="14" t="s">
        <v>328</v>
      </c>
      <c r="U69" s="10" t="s">
        <v>328</v>
      </c>
      <c r="V69" s="10" t="s">
        <v>328</v>
      </c>
      <c r="W69" s="1" t="s">
        <v>328</v>
      </c>
    </row>
    <row r="70" spans="1:23" x14ac:dyDescent="0.25">
      <c r="A70" s="1" t="s">
        <v>1036</v>
      </c>
      <c r="B70" s="1" t="s">
        <v>323</v>
      </c>
      <c r="C70" s="1" t="s">
        <v>19</v>
      </c>
      <c r="D70" s="1">
        <v>30698548289</v>
      </c>
      <c r="E70" s="1" t="s">
        <v>20</v>
      </c>
      <c r="F70" s="1" t="s">
        <v>307</v>
      </c>
      <c r="G70" s="1" t="s">
        <v>53</v>
      </c>
      <c r="H70" s="1" t="s">
        <v>54</v>
      </c>
      <c r="I70" s="1" t="s">
        <v>1075</v>
      </c>
      <c r="J70" s="2">
        <v>0</v>
      </c>
      <c r="K70" s="12">
        <v>12040.93</v>
      </c>
      <c r="L70" s="2">
        <v>0</v>
      </c>
      <c r="M70" s="2">
        <v>12040.93</v>
      </c>
      <c r="N70" s="12">
        <v>0</v>
      </c>
      <c r="O70" s="2">
        <v>0</v>
      </c>
      <c r="P70" s="2">
        <v>0</v>
      </c>
      <c r="Q70" s="2">
        <v>0</v>
      </c>
      <c r="R70" s="2">
        <v>0</v>
      </c>
      <c r="S70" s="8" t="s">
        <v>1215</v>
      </c>
      <c r="T70" s="14" t="s">
        <v>328</v>
      </c>
      <c r="U70" s="10" t="s">
        <v>328</v>
      </c>
      <c r="V70" s="10" t="s">
        <v>328</v>
      </c>
      <c r="W70" s="1" t="s">
        <v>328</v>
      </c>
    </row>
    <row r="71" spans="1:23" x14ac:dyDescent="0.25">
      <c r="A71" s="1" t="s">
        <v>60</v>
      </c>
      <c r="B71" s="1" t="s">
        <v>61</v>
      </c>
      <c r="C71" s="1" t="s">
        <v>19</v>
      </c>
      <c r="D71" s="1">
        <v>30715706934</v>
      </c>
      <c r="E71" s="1" t="s">
        <v>20</v>
      </c>
      <c r="F71" s="1" t="s">
        <v>249</v>
      </c>
      <c r="G71" s="1" t="s">
        <v>53</v>
      </c>
      <c r="H71" s="1" t="s">
        <v>54</v>
      </c>
      <c r="I71" s="1" t="s">
        <v>1076</v>
      </c>
      <c r="J71" s="2">
        <v>21</v>
      </c>
      <c r="K71" s="12">
        <v>57198.21</v>
      </c>
      <c r="L71" s="2">
        <v>47271.25</v>
      </c>
      <c r="M71" s="2">
        <v>0</v>
      </c>
      <c r="N71" s="12">
        <v>9926.9599999999991</v>
      </c>
      <c r="O71" s="2">
        <v>0</v>
      </c>
      <c r="P71" s="2">
        <v>0</v>
      </c>
      <c r="Q71" s="2">
        <v>0</v>
      </c>
      <c r="R71" s="2">
        <v>0</v>
      </c>
      <c r="S71" s="8" t="s">
        <v>1216</v>
      </c>
      <c r="T71" s="14" t="s">
        <v>328</v>
      </c>
      <c r="U71" s="10" t="s">
        <v>328</v>
      </c>
      <c r="V71" s="10" t="s">
        <v>328</v>
      </c>
      <c r="W71" s="1" t="s">
        <v>328</v>
      </c>
    </row>
    <row r="72" spans="1:23" x14ac:dyDescent="0.25">
      <c r="A72" s="1" t="s">
        <v>60</v>
      </c>
      <c r="B72" s="1" t="s">
        <v>61</v>
      </c>
      <c r="C72" s="1" t="s">
        <v>19</v>
      </c>
      <c r="D72" s="1">
        <v>30715706934</v>
      </c>
      <c r="E72" s="1" t="s">
        <v>20</v>
      </c>
      <c r="F72" s="1" t="s">
        <v>249</v>
      </c>
      <c r="G72" s="1" t="s">
        <v>53</v>
      </c>
      <c r="H72" s="1" t="s">
        <v>54</v>
      </c>
      <c r="I72" s="1" t="s">
        <v>1076</v>
      </c>
      <c r="J72" s="2">
        <v>0</v>
      </c>
      <c r="K72" s="12">
        <v>12801.76</v>
      </c>
      <c r="L72" s="2">
        <v>0</v>
      </c>
      <c r="M72" s="2">
        <v>12801.76</v>
      </c>
      <c r="N72" s="12">
        <v>0</v>
      </c>
      <c r="O72" s="2">
        <v>0</v>
      </c>
      <c r="P72" s="2">
        <v>0</v>
      </c>
      <c r="Q72" s="2">
        <v>0</v>
      </c>
      <c r="R72" s="2">
        <v>0</v>
      </c>
      <c r="S72" s="8" t="s">
        <v>1216</v>
      </c>
      <c r="T72" s="14" t="s">
        <v>328</v>
      </c>
      <c r="U72" s="10" t="s">
        <v>328</v>
      </c>
      <c r="V72" s="10" t="s">
        <v>328</v>
      </c>
      <c r="W72" s="1" t="s">
        <v>328</v>
      </c>
    </row>
    <row r="73" spans="1:23" x14ac:dyDescent="0.25">
      <c r="A73" s="1" t="s">
        <v>33</v>
      </c>
      <c r="B73" s="1" t="s">
        <v>34</v>
      </c>
      <c r="C73" s="1" t="s">
        <v>19</v>
      </c>
      <c r="D73" s="1">
        <v>33708336969</v>
      </c>
      <c r="E73" s="1" t="s">
        <v>20</v>
      </c>
      <c r="F73" s="1" t="s">
        <v>359</v>
      </c>
      <c r="G73" s="1" t="s">
        <v>53</v>
      </c>
      <c r="H73" s="1" t="s">
        <v>54</v>
      </c>
      <c r="I73" s="1" t="s">
        <v>462</v>
      </c>
      <c r="J73" s="2">
        <v>21</v>
      </c>
      <c r="K73" s="12">
        <v>6500</v>
      </c>
      <c r="L73" s="2">
        <v>5371.9</v>
      </c>
      <c r="M73" s="2">
        <v>0</v>
      </c>
      <c r="N73" s="12">
        <v>1128.0999999999999</v>
      </c>
      <c r="O73" s="2">
        <v>0</v>
      </c>
      <c r="P73" s="2">
        <v>0</v>
      </c>
      <c r="Q73" s="2">
        <v>0</v>
      </c>
      <c r="R73" s="2">
        <v>0</v>
      </c>
      <c r="S73" s="8" t="s">
        <v>975</v>
      </c>
      <c r="T73" s="14" t="s">
        <v>328</v>
      </c>
      <c r="U73" s="10" t="s">
        <v>328</v>
      </c>
      <c r="V73" s="10" t="s">
        <v>328</v>
      </c>
      <c r="W73" s="1" t="s">
        <v>328</v>
      </c>
    </row>
    <row r="74" spans="1:23" x14ac:dyDescent="0.25">
      <c r="A74" s="1" t="s">
        <v>466</v>
      </c>
      <c r="B74" s="1" t="s">
        <v>467</v>
      </c>
      <c r="C74" s="1" t="s">
        <v>19</v>
      </c>
      <c r="D74" s="1">
        <v>30643922157</v>
      </c>
      <c r="E74" s="1" t="s">
        <v>20</v>
      </c>
      <c r="F74" s="1" t="s">
        <v>359</v>
      </c>
      <c r="G74" s="1" t="s">
        <v>53</v>
      </c>
      <c r="H74" s="1" t="s">
        <v>54</v>
      </c>
      <c r="I74" s="1" t="s">
        <v>468</v>
      </c>
      <c r="J74" s="2">
        <v>21</v>
      </c>
      <c r="K74" s="12">
        <v>17000</v>
      </c>
      <c r="L74" s="2">
        <v>14049.59</v>
      </c>
      <c r="M74" s="2">
        <v>0</v>
      </c>
      <c r="N74" s="12">
        <v>2950.41</v>
      </c>
      <c r="O74" s="2">
        <v>0</v>
      </c>
      <c r="P74" s="2">
        <v>0</v>
      </c>
      <c r="Q74" s="2">
        <v>0</v>
      </c>
      <c r="R74" s="2">
        <v>0</v>
      </c>
      <c r="S74" s="8" t="s">
        <v>976</v>
      </c>
      <c r="T74" s="14" t="s">
        <v>328</v>
      </c>
      <c r="U74" s="10" t="s">
        <v>328</v>
      </c>
      <c r="V74" s="10" t="s">
        <v>328</v>
      </c>
      <c r="W74" s="1" t="s">
        <v>328</v>
      </c>
    </row>
    <row r="75" spans="1:23" x14ac:dyDescent="0.25">
      <c r="A75" s="1" t="s">
        <v>476</v>
      </c>
      <c r="B75" s="1" t="s">
        <v>477</v>
      </c>
      <c r="C75" s="1" t="s">
        <v>19</v>
      </c>
      <c r="D75" s="1">
        <v>27366557860</v>
      </c>
      <c r="E75" s="1" t="s">
        <v>63</v>
      </c>
      <c r="F75" s="1" t="s">
        <v>359</v>
      </c>
      <c r="G75" s="1" t="s">
        <v>53</v>
      </c>
      <c r="H75" s="1" t="s">
        <v>59</v>
      </c>
      <c r="I75" s="1" t="s">
        <v>478</v>
      </c>
      <c r="J75" s="2">
        <v>0</v>
      </c>
      <c r="K75" s="12">
        <v>40000</v>
      </c>
      <c r="L75" s="2">
        <v>0</v>
      </c>
      <c r="M75" s="2">
        <v>40000</v>
      </c>
      <c r="N75" s="12">
        <v>0</v>
      </c>
      <c r="O75" s="2">
        <v>0</v>
      </c>
      <c r="P75" s="2">
        <v>0</v>
      </c>
      <c r="Q75" s="2">
        <v>0</v>
      </c>
      <c r="R75" s="2">
        <v>0</v>
      </c>
      <c r="S75" s="8" t="s">
        <v>977</v>
      </c>
      <c r="T75" s="14" t="s">
        <v>328</v>
      </c>
      <c r="U75" s="10" t="s">
        <v>328</v>
      </c>
      <c r="V75" s="10" t="s">
        <v>328</v>
      </c>
      <c r="W75" s="1" t="s">
        <v>328</v>
      </c>
    </row>
    <row r="76" spans="1:23" x14ac:dyDescent="0.25">
      <c r="A76" s="1" t="s">
        <v>99</v>
      </c>
      <c r="B76" s="1" t="s">
        <v>100</v>
      </c>
      <c r="C76" s="1" t="s">
        <v>19</v>
      </c>
      <c r="D76" s="1">
        <v>30707787364</v>
      </c>
      <c r="E76" s="1" t="s">
        <v>20</v>
      </c>
      <c r="F76" s="1" t="s">
        <v>365</v>
      </c>
      <c r="G76" s="1" t="s">
        <v>53</v>
      </c>
      <c r="H76" s="1" t="s">
        <v>54</v>
      </c>
      <c r="I76" s="1" t="s">
        <v>1082</v>
      </c>
      <c r="J76" s="2">
        <v>21</v>
      </c>
      <c r="K76" s="12">
        <v>119637.37</v>
      </c>
      <c r="L76" s="2">
        <v>98873.86</v>
      </c>
      <c r="M76" s="2">
        <v>0</v>
      </c>
      <c r="N76" s="12">
        <v>20763.509999999998</v>
      </c>
      <c r="O76" s="2">
        <v>0</v>
      </c>
      <c r="P76" s="2">
        <v>0</v>
      </c>
      <c r="Q76" s="2">
        <v>0</v>
      </c>
      <c r="R76" s="2">
        <v>0</v>
      </c>
      <c r="S76" s="8" t="s">
        <v>1217</v>
      </c>
      <c r="T76" s="14" t="s">
        <v>328</v>
      </c>
      <c r="U76" s="10" t="s">
        <v>328</v>
      </c>
      <c r="V76" s="10" t="s">
        <v>328</v>
      </c>
      <c r="W76" s="1" t="s">
        <v>328</v>
      </c>
    </row>
    <row r="77" spans="1:23" x14ac:dyDescent="0.25">
      <c r="A77" s="1" t="s">
        <v>99</v>
      </c>
      <c r="B77" s="1" t="s">
        <v>100</v>
      </c>
      <c r="C77" s="1" t="s">
        <v>19</v>
      </c>
      <c r="D77" s="1">
        <v>30707787364</v>
      </c>
      <c r="E77" s="1" t="s">
        <v>20</v>
      </c>
      <c r="F77" s="1" t="s">
        <v>365</v>
      </c>
      <c r="G77" s="1" t="s">
        <v>53</v>
      </c>
      <c r="H77" s="1" t="s">
        <v>54</v>
      </c>
      <c r="I77" s="1" t="s">
        <v>1082</v>
      </c>
      <c r="J77" s="2">
        <v>0</v>
      </c>
      <c r="K77" s="12">
        <v>14163.79</v>
      </c>
      <c r="L77" s="2">
        <v>0</v>
      </c>
      <c r="M77" s="2">
        <v>14163.79</v>
      </c>
      <c r="N77" s="12">
        <v>0</v>
      </c>
      <c r="O77" s="2">
        <v>0</v>
      </c>
      <c r="P77" s="2">
        <v>0</v>
      </c>
      <c r="Q77" s="2">
        <v>0</v>
      </c>
      <c r="R77" s="2">
        <v>0</v>
      </c>
      <c r="S77" s="8" t="s">
        <v>1217</v>
      </c>
      <c r="T77" s="14" t="s">
        <v>328</v>
      </c>
      <c r="U77" s="10" t="s">
        <v>328</v>
      </c>
      <c r="V77" s="10" t="s">
        <v>328</v>
      </c>
      <c r="W77" s="1" t="s">
        <v>328</v>
      </c>
    </row>
    <row r="78" spans="1:23" x14ac:dyDescent="0.25">
      <c r="A78" s="1" t="s">
        <v>147</v>
      </c>
      <c r="B78" s="1" t="s">
        <v>237</v>
      </c>
      <c r="C78" s="1" t="s">
        <v>19</v>
      </c>
      <c r="D78" s="1">
        <v>30500010084</v>
      </c>
      <c r="E78" s="1" t="s">
        <v>20</v>
      </c>
      <c r="F78" s="1" t="s">
        <v>365</v>
      </c>
      <c r="G78" s="1" t="s">
        <v>53</v>
      </c>
      <c r="H78" s="1" t="s">
        <v>54</v>
      </c>
      <c r="I78" s="1" t="s">
        <v>501</v>
      </c>
      <c r="J78" s="2">
        <v>10.5</v>
      </c>
      <c r="K78" s="12">
        <v>8135226.9100000001</v>
      </c>
      <c r="L78" s="2">
        <v>7362196.2999999998</v>
      </c>
      <c r="M78" s="2">
        <v>0</v>
      </c>
      <c r="N78" s="12">
        <v>773030.61</v>
      </c>
      <c r="O78" s="2">
        <v>0</v>
      </c>
      <c r="P78" s="2">
        <v>0</v>
      </c>
      <c r="Q78" s="2">
        <v>0</v>
      </c>
      <c r="R78" s="2">
        <v>0</v>
      </c>
      <c r="S78" s="8" t="s">
        <v>978</v>
      </c>
      <c r="T78" s="14" t="s">
        <v>328</v>
      </c>
      <c r="U78" s="10" t="s">
        <v>328</v>
      </c>
      <c r="V78" s="10" t="s">
        <v>328</v>
      </c>
      <c r="W78" s="1" t="s">
        <v>328</v>
      </c>
    </row>
    <row r="79" spans="1:23" x14ac:dyDescent="0.25">
      <c r="A79" s="1" t="s">
        <v>147</v>
      </c>
      <c r="B79" s="1" t="s">
        <v>237</v>
      </c>
      <c r="C79" s="1" t="s">
        <v>19</v>
      </c>
      <c r="D79" s="1">
        <v>30500010084</v>
      </c>
      <c r="E79" s="1" t="s">
        <v>20</v>
      </c>
      <c r="F79" s="1" t="s">
        <v>365</v>
      </c>
      <c r="G79" s="1" t="s">
        <v>53</v>
      </c>
      <c r="H79" s="1" t="s">
        <v>54</v>
      </c>
      <c r="I79" s="1" t="s">
        <v>501</v>
      </c>
      <c r="J79" s="2">
        <v>0</v>
      </c>
      <c r="K79" s="12">
        <v>110432.94</v>
      </c>
      <c r="L79" s="2">
        <v>0</v>
      </c>
      <c r="M79" s="2">
        <v>110432.94</v>
      </c>
      <c r="N79" s="12">
        <v>0</v>
      </c>
      <c r="O79" s="2">
        <v>0</v>
      </c>
      <c r="P79" s="2">
        <v>0</v>
      </c>
      <c r="Q79" s="2">
        <v>0</v>
      </c>
      <c r="R79" s="2">
        <v>0</v>
      </c>
      <c r="S79" s="8" t="s">
        <v>978</v>
      </c>
      <c r="T79" s="14" t="s">
        <v>328</v>
      </c>
      <c r="U79" s="10" t="s">
        <v>328</v>
      </c>
      <c r="V79" s="10" t="s">
        <v>328</v>
      </c>
      <c r="W79" s="1" t="s">
        <v>328</v>
      </c>
    </row>
    <row r="80" spans="1:23" x14ac:dyDescent="0.25">
      <c r="A80" s="1" t="s">
        <v>147</v>
      </c>
      <c r="B80" s="1" t="s">
        <v>237</v>
      </c>
      <c r="C80" s="1" t="s">
        <v>19</v>
      </c>
      <c r="D80" s="1">
        <v>30500010084</v>
      </c>
      <c r="E80" s="1" t="s">
        <v>20</v>
      </c>
      <c r="F80" s="1" t="s">
        <v>365</v>
      </c>
      <c r="G80" s="1" t="s">
        <v>53</v>
      </c>
      <c r="H80" s="1" t="s">
        <v>54</v>
      </c>
      <c r="I80" s="1" t="s">
        <v>503</v>
      </c>
      <c r="J80" s="2">
        <v>10.5</v>
      </c>
      <c r="K80" s="12">
        <v>5716883.7800000003</v>
      </c>
      <c r="L80" s="2">
        <v>5173650.4800000004</v>
      </c>
      <c r="M80" s="2">
        <v>0</v>
      </c>
      <c r="N80" s="12">
        <v>543233.30000000005</v>
      </c>
      <c r="O80" s="2">
        <v>0</v>
      </c>
      <c r="P80" s="2">
        <v>0</v>
      </c>
      <c r="Q80" s="2">
        <v>0</v>
      </c>
      <c r="R80" s="2">
        <v>0</v>
      </c>
      <c r="S80" s="8" t="s">
        <v>979</v>
      </c>
      <c r="T80" s="14" t="s">
        <v>328</v>
      </c>
      <c r="U80" s="10" t="s">
        <v>328</v>
      </c>
      <c r="V80" s="10" t="s">
        <v>328</v>
      </c>
      <c r="W80" s="1" t="s">
        <v>328</v>
      </c>
    </row>
    <row r="81" spans="1:23" x14ac:dyDescent="0.25">
      <c r="A81" s="1" t="s">
        <v>147</v>
      </c>
      <c r="B81" s="1" t="s">
        <v>237</v>
      </c>
      <c r="C81" s="1" t="s">
        <v>19</v>
      </c>
      <c r="D81" s="1">
        <v>30500010084</v>
      </c>
      <c r="E81" s="1" t="s">
        <v>20</v>
      </c>
      <c r="F81" s="1" t="s">
        <v>365</v>
      </c>
      <c r="G81" s="1" t="s">
        <v>53</v>
      </c>
      <c r="H81" s="1" t="s">
        <v>54</v>
      </c>
      <c r="I81" s="1" t="s">
        <v>503</v>
      </c>
      <c r="J81" s="2">
        <v>0</v>
      </c>
      <c r="K81" s="12">
        <v>77604.759999999995</v>
      </c>
      <c r="L81" s="2">
        <v>0</v>
      </c>
      <c r="M81" s="2">
        <v>77604.759999999995</v>
      </c>
      <c r="N81" s="12">
        <v>0</v>
      </c>
      <c r="O81" s="2">
        <v>0</v>
      </c>
      <c r="P81" s="2">
        <v>0</v>
      </c>
      <c r="Q81" s="2">
        <v>0</v>
      </c>
      <c r="R81" s="2">
        <v>0</v>
      </c>
      <c r="S81" s="8" t="s">
        <v>979</v>
      </c>
      <c r="T81" s="14" t="s">
        <v>328</v>
      </c>
      <c r="U81" s="10" t="s">
        <v>328</v>
      </c>
      <c r="V81" s="10" t="s">
        <v>328</v>
      </c>
      <c r="W81" s="1" t="s">
        <v>328</v>
      </c>
    </row>
    <row r="82" spans="1:23" x14ac:dyDescent="0.25">
      <c r="A82" s="1" t="s">
        <v>33</v>
      </c>
      <c r="B82" s="1" t="s">
        <v>34</v>
      </c>
      <c r="C82" s="1" t="s">
        <v>19</v>
      </c>
      <c r="D82" s="1">
        <v>33708336969</v>
      </c>
      <c r="E82" s="1" t="s">
        <v>20</v>
      </c>
      <c r="F82" s="1" t="s">
        <v>365</v>
      </c>
      <c r="G82" s="1" t="s">
        <v>53</v>
      </c>
      <c r="H82" s="1" t="s">
        <v>54</v>
      </c>
      <c r="I82" s="1" t="s">
        <v>505</v>
      </c>
      <c r="J82" s="2">
        <v>21</v>
      </c>
      <c r="K82" s="12">
        <v>6500</v>
      </c>
      <c r="L82" s="2">
        <v>5371.9</v>
      </c>
      <c r="M82" s="2">
        <v>0</v>
      </c>
      <c r="N82" s="12">
        <v>1128.0999999999999</v>
      </c>
      <c r="O82" s="2">
        <v>0</v>
      </c>
      <c r="P82" s="2">
        <v>0</v>
      </c>
      <c r="Q82" s="2">
        <v>0</v>
      </c>
      <c r="R82" s="2">
        <v>0</v>
      </c>
      <c r="S82" s="8" t="s">
        <v>980</v>
      </c>
      <c r="T82" s="14" t="s">
        <v>328</v>
      </c>
      <c r="U82" s="10" t="s">
        <v>328</v>
      </c>
      <c r="V82" s="10" t="s">
        <v>328</v>
      </c>
      <c r="W82" s="1" t="s">
        <v>328</v>
      </c>
    </row>
    <row r="83" spans="1:23" x14ac:dyDescent="0.25">
      <c r="A83" s="1" t="s">
        <v>1042</v>
      </c>
      <c r="B83" s="1" t="s">
        <v>1043</v>
      </c>
      <c r="C83" s="1" t="s">
        <v>19</v>
      </c>
      <c r="D83" s="1">
        <v>30707394028</v>
      </c>
      <c r="E83" s="1" t="s">
        <v>20</v>
      </c>
      <c r="F83" s="1" t="s">
        <v>365</v>
      </c>
      <c r="G83" s="1" t="s">
        <v>53</v>
      </c>
      <c r="H83" s="1" t="s">
        <v>54</v>
      </c>
      <c r="I83" s="1" t="s">
        <v>1083</v>
      </c>
      <c r="J83" s="2">
        <v>21</v>
      </c>
      <c r="K83" s="12">
        <v>70029.600000000006</v>
      </c>
      <c r="L83" s="2">
        <v>57875.7</v>
      </c>
      <c r="M83" s="2">
        <v>0</v>
      </c>
      <c r="N83" s="12">
        <v>12153.9</v>
      </c>
      <c r="O83" s="2">
        <v>0</v>
      </c>
      <c r="P83" s="2">
        <v>0</v>
      </c>
      <c r="Q83" s="2">
        <v>0</v>
      </c>
      <c r="R83" s="2">
        <v>0</v>
      </c>
      <c r="S83" s="8" t="s">
        <v>1218</v>
      </c>
      <c r="T83" s="14" t="s">
        <v>328</v>
      </c>
      <c r="U83" s="10" t="s">
        <v>328</v>
      </c>
      <c r="V83" s="10" t="s">
        <v>328</v>
      </c>
      <c r="W83" s="1" t="s">
        <v>328</v>
      </c>
    </row>
    <row r="84" spans="1:23" x14ac:dyDescent="0.25">
      <c r="A84" s="1" t="s">
        <v>1042</v>
      </c>
      <c r="B84" s="1" t="s">
        <v>1043</v>
      </c>
      <c r="C84" s="1" t="s">
        <v>19</v>
      </c>
      <c r="D84" s="1">
        <v>30707394028</v>
      </c>
      <c r="E84" s="1" t="s">
        <v>20</v>
      </c>
      <c r="F84" s="1" t="s">
        <v>365</v>
      </c>
      <c r="G84" s="1" t="s">
        <v>53</v>
      </c>
      <c r="H84" s="1" t="s">
        <v>54</v>
      </c>
      <c r="I84" s="1" t="s">
        <v>1083</v>
      </c>
      <c r="J84" s="2">
        <v>0</v>
      </c>
      <c r="K84" s="12">
        <v>12976.81</v>
      </c>
      <c r="L84" s="2">
        <v>0</v>
      </c>
      <c r="M84" s="2">
        <v>12976.81</v>
      </c>
      <c r="N84" s="12">
        <v>0</v>
      </c>
      <c r="O84" s="2">
        <v>0</v>
      </c>
      <c r="P84" s="2">
        <v>0</v>
      </c>
      <c r="Q84" s="2">
        <v>0</v>
      </c>
      <c r="R84" s="2">
        <v>0</v>
      </c>
      <c r="S84" s="8" t="s">
        <v>1218</v>
      </c>
      <c r="T84" s="14" t="s">
        <v>328</v>
      </c>
      <c r="U84" s="10" t="s">
        <v>328</v>
      </c>
      <c r="V84" s="10" t="s">
        <v>328</v>
      </c>
      <c r="W84" s="1" t="s">
        <v>328</v>
      </c>
    </row>
    <row r="85" spans="1:23" x14ac:dyDescent="0.25">
      <c r="A85" s="1" t="s">
        <v>1084</v>
      </c>
      <c r="B85" s="1" t="s">
        <v>1085</v>
      </c>
      <c r="C85" s="1" t="s">
        <v>19</v>
      </c>
      <c r="D85" s="1">
        <v>30690887661</v>
      </c>
      <c r="E85" s="1" t="s">
        <v>20</v>
      </c>
      <c r="F85" s="1" t="s">
        <v>365</v>
      </c>
      <c r="G85" s="1" t="s">
        <v>53</v>
      </c>
      <c r="H85" s="1" t="s">
        <v>54</v>
      </c>
      <c r="I85" s="1" t="s">
        <v>1086</v>
      </c>
      <c r="J85" s="2">
        <v>21</v>
      </c>
      <c r="K85" s="12">
        <v>10499.97</v>
      </c>
      <c r="L85" s="2">
        <v>8677.66</v>
      </c>
      <c r="M85" s="2">
        <v>0</v>
      </c>
      <c r="N85" s="12">
        <v>1822.31</v>
      </c>
      <c r="O85" s="2">
        <v>0</v>
      </c>
      <c r="P85" s="2">
        <v>0</v>
      </c>
      <c r="Q85" s="2">
        <v>0</v>
      </c>
      <c r="R85" s="2">
        <v>0</v>
      </c>
      <c r="S85" s="8" t="s">
        <v>1219</v>
      </c>
      <c r="T85" s="14" t="s">
        <v>328</v>
      </c>
      <c r="U85" s="10" t="s">
        <v>328</v>
      </c>
      <c r="V85" s="10" t="s">
        <v>328</v>
      </c>
      <c r="W85" s="1" t="s">
        <v>328</v>
      </c>
    </row>
    <row r="86" spans="1:23" x14ac:dyDescent="0.25">
      <c r="A86" s="1" t="s">
        <v>1084</v>
      </c>
      <c r="B86" s="1" t="s">
        <v>1085</v>
      </c>
      <c r="C86" s="1" t="s">
        <v>19</v>
      </c>
      <c r="D86" s="1">
        <v>30690887661</v>
      </c>
      <c r="E86" s="1" t="s">
        <v>20</v>
      </c>
      <c r="F86" s="1" t="s">
        <v>365</v>
      </c>
      <c r="G86" s="1" t="s">
        <v>53</v>
      </c>
      <c r="H86" s="1" t="s">
        <v>54</v>
      </c>
      <c r="I86" s="1" t="s">
        <v>1086</v>
      </c>
      <c r="J86" s="2">
        <v>0</v>
      </c>
      <c r="K86" s="12">
        <v>0.03</v>
      </c>
      <c r="L86" s="2">
        <v>0</v>
      </c>
      <c r="M86" s="2">
        <v>0.03</v>
      </c>
      <c r="N86" s="12">
        <v>0</v>
      </c>
      <c r="O86" s="2">
        <v>0</v>
      </c>
      <c r="P86" s="2">
        <v>0</v>
      </c>
      <c r="Q86" s="2">
        <v>0</v>
      </c>
      <c r="R86" s="2">
        <v>0</v>
      </c>
      <c r="S86" s="8" t="s">
        <v>1219</v>
      </c>
      <c r="T86" s="14" t="s">
        <v>328</v>
      </c>
      <c r="U86" s="10" t="s">
        <v>328</v>
      </c>
      <c r="V86" s="10" t="s">
        <v>328</v>
      </c>
      <c r="W86" s="1" t="s">
        <v>328</v>
      </c>
    </row>
    <row r="87" spans="1:23" x14ac:dyDescent="0.25">
      <c r="A87" s="1" t="s">
        <v>1064</v>
      </c>
      <c r="B87" s="1" t="s">
        <v>1065</v>
      </c>
      <c r="C87" s="1" t="s">
        <v>19</v>
      </c>
      <c r="D87" s="1">
        <v>27181146317</v>
      </c>
      <c r="E87" s="1" t="s">
        <v>63</v>
      </c>
      <c r="F87" s="1" t="s">
        <v>365</v>
      </c>
      <c r="G87" s="1" t="s">
        <v>53</v>
      </c>
      <c r="H87" s="1" t="s">
        <v>59</v>
      </c>
      <c r="I87" s="1" t="s">
        <v>1087</v>
      </c>
      <c r="J87" s="2">
        <v>21</v>
      </c>
      <c r="K87" s="12">
        <v>114983.6</v>
      </c>
      <c r="L87" s="2">
        <v>95027.77</v>
      </c>
      <c r="M87" s="2">
        <v>0</v>
      </c>
      <c r="N87" s="12">
        <v>19955.830000000002</v>
      </c>
      <c r="O87" s="2">
        <v>0</v>
      </c>
      <c r="P87" s="2">
        <v>0</v>
      </c>
      <c r="Q87" s="2">
        <v>0</v>
      </c>
      <c r="R87" s="2">
        <v>0</v>
      </c>
      <c r="S87" s="8" t="s">
        <v>1220</v>
      </c>
      <c r="T87" s="14" t="s">
        <v>328</v>
      </c>
      <c r="U87" s="10" t="s">
        <v>328</v>
      </c>
      <c r="V87" s="10" t="s">
        <v>328</v>
      </c>
      <c r="W87" s="1" t="s">
        <v>328</v>
      </c>
    </row>
    <row r="88" spans="1:23" x14ac:dyDescent="0.25">
      <c r="A88" s="1" t="s">
        <v>1064</v>
      </c>
      <c r="B88" s="1" t="s">
        <v>1065</v>
      </c>
      <c r="C88" s="1" t="s">
        <v>19</v>
      </c>
      <c r="D88" s="1">
        <v>27181146317</v>
      </c>
      <c r="E88" s="1" t="s">
        <v>63</v>
      </c>
      <c r="F88" s="1" t="s">
        <v>365</v>
      </c>
      <c r="G88" s="1" t="s">
        <v>53</v>
      </c>
      <c r="H88" s="1" t="s">
        <v>59</v>
      </c>
      <c r="I88" s="1" t="s">
        <v>1087</v>
      </c>
      <c r="J88" s="2">
        <v>0</v>
      </c>
      <c r="K88" s="12">
        <v>15016.4</v>
      </c>
      <c r="L88" s="2">
        <v>0</v>
      </c>
      <c r="M88" s="2">
        <v>15016.4</v>
      </c>
      <c r="N88" s="12">
        <v>0</v>
      </c>
      <c r="O88" s="2">
        <v>0</v>
      </c>
      <c r="P88" s="2">
        <v>0</v>
      </c>
      <c r="Q88" s="2">
        <v>0</v>
      </c>
      <c r="R88" s="2">
        <v>0</v>
      </c>
      <c r="S88" s="8" t="s">
        <v>1220</v>
      </c>
      <c r="T88" s="14" t="s">
        <v>328</v>
      </c>
      <c r="U88" s="10" t="s">
        <v>328</v>
      </c>
      <c r="V88" s="10" t="s">
        <v>328</v>
      </c>
      <c r="W88" s="1" t="s">
        <v>328</v>
      </c>
    </row>
    <row r="89" spans="1:23" x14ac:dyDescent="0.25">
      <c r="A89" s="1" t="s">
        <v>97</v>
      </c>
      <c r="B89" s="1" t="s">
        <v>98</v>
      </c>
      <c r="C89" s="1" t="s">
        <v>19</v>
      </c>
      <c r="D89" s="1">
        <v>30545788167</v>
      </c>
      <c r="E89" s="1" t="s">
        <v>20</v>
      </c>
      <c r="F89" s="1" t="s">
        <v>370</v>
      </c>
      <c r="G89" s="1" t="s">
        <v>53</v>
      </c>
      <c r="H89" s="1" t="s">
        <v>54</v>
      </c>
      <c r="I89" s="1" t="s">
        <v>558</v>
      </c>
      <c r="J89" s="2">
        <v>27</v>
      </c>
      <c r="K89" s="12">
        <v>229516.98</v>
      </c>
      <c r="L89" s="2">
        <v>176551.52</v>
      </c>
      <c r="M89" s="2">
        <v>0</v>
      </c>
      <c r="N89" s="12">
        <v>47668.91</v>
      </c>
      <c r="O89" s="2">
        <v>5296.55</v>
      </c>
      <c r="P89" s="2">
        <v>0</v>
      </c>
      <c r="Q89" s="2">
        <v>0</v>
      </c>
      <c r="R89" s="2">
        <v>0</v>
      </c>
      <c r="S89" s="8" t="s">
        <v>981</v>
      </c>
      <c r="T89" s="14" t="s">
        <v>328</v>
      </c>
      <c r="U89" s="10" t="s">
        <v>328</v>
      </c>
      <c r="V89" s="10" t="s">
        <v>328</v>
      </c>
      <c r="W89" s="1" t="s">
        <v>328</v>
      </c>
    </row>
    <row r="90" spans="1:23" x14ac:dyDescent="0.25">
      <c r="A90" s="1" t="s">
        <v>97</v>
      </c>
      <c r="B90" s="1" t="s">
        <v>98</v>
      </c>
      <c r="C90" s="1" t="s">
        <v>19</v>
      </c>
      <c r="D90" s="1">
        <v>30545788167</v>
      </c>
      <c r="E90" s="1" t="s">
        <v>20</v>
      </c>
      <c r="F90" s="1" t="s">
        <v>370</v>
      </c>
      <c r="G90" s="1" t="s">
        <v>53</v>
      </c>
      <c r="H90" s="1" t="s">
        <v>54</v>
      </c>
      <c r="I90" s="1" t="s">
        <v>558</v>
      </c>
      <c r="J90" s="2">
        <v>0</v>
      </c>
      <c r="K90" s="12">
        <v>13547.7</v>
      </c>
      <c r="L90" s="2">
        <v>0</v>
      </c>
      <c r="M90" s="2">
        <v>13547.7</v>
      </c>
      <c r="N90" s="12">
        <v>0</v>
      </c>
      <c r="O90" s="2">
        <v>0</v>
      </c>
      <c r="P90" s="2">
        <v>0</v>
      </c>
      <c r="Q90" s="2">
        <v>0</v>
      </c>
      <c r="R90" s="2">
        <v>0</v>
      </c>
      <c r="S90" s="8" t="s">
        <v>981</v>
      </c>
      <c r="T90" s="14" t="s">
        <v>328</v>
      </c>
      <c r="U90" s="10" t="s">
        <v>328</v>
      </c>
      <c r="V90" s="10" t="s">
        <v>328</v>
      </c>
      <c r="W90" s="1" t="s">
        <v>328</v>
      </c>
    </row>
    <row r="91" spans="1:23" x14ac:dyDescent="0.25">
      <c r="A91" s="1" t="s">
        <v>97</v>
      </c>
      <c r="B91" s="1" t="s">
        <v>98</v>
      </c>
      <c r="C91" s="1" t="s">
        <v>19</v>
      </c>
      <c r="D91" s="1">
        <v>30545788167</v>
      </c>
      <c r="E91" s="1" t="s">
        <v>20</v>
      </c>
      <c r="F91" s="1" t="s">
        <v>370</v>
      </c>
      <c r="G91" s="1" t="s">
        <v>53</v>
      </c>
      <c r="H91" s="1" t="s">
        <v>54</v>
      </c>
      <c r="I91" s="1" t="s">
        <v>559</v>
      </c>
      <c r="J91" s="2">
        <v>27</v>
      </c>
      <c r="K91" s="12">
        <v>314644.96999999997</v>
      </c>
      <c r="L91" s="2">
        <v>242034.59</v>
      </c>
      <c r="M91" s="2">
        <v>0</v>
      </c>
      <c r="N91" s="12">
        <v>65349.34</v>
      </c>
      <c r="O91" s="2">
        <v>7261.04</v>
      </c>
      <c r="P91" s="2">
        <v>0</v>
      </c>
      <c r="Q91" s="2">
        <v>0</v>
      </c>
      <c r="R91" s="2">
        <v>0</v>
      </c>
      <c r="S91" s="8" t="s">
        <v>982</v>
      </c>
      <c r="T91" s="14" t="s">
        <v>328</v>
      </c>
      <c r="U91" s="10" t="s">
        <v>328</v>
      </c>
      <c r="V91" s="10" t="s">
        <v>328</v>
      </c>
      <c r="W91" s="1" t="s">
        <v>328</v>
      </c>
    </row>
    <row r="92" spans="1:23" x14ac:dyDescent="0.25">
      <c r="A92" s="1" t="s">
        <v>97</v>
      </c>
      <c r="B92" s="1" t="s">
        <v>98</v>
      </c>
      <c r="C92" s="1" t="s">
        <v>19</v>
      </c>
      <c r="D92" s="1">
        <v>30545788167</v>
      </c>
      <c r="E92" s="1" t="s">
        <v>20</v>
      </c>
      <c r="F92" s="1" t="s">
        <v>370</v>
      </c>
      <c r="G92" s="1" t="s">
        <v>53</v>
      </c>
      <c r="H92" s="1" t="s">
        <v>54</v>
      </c>
      <c r="I92" s="1" t="s">
        <v>559</v>
      </c>
      <c r="J92" s="2">
        <v>0</v>
      </c>
      <c r="K92" s="12">
        <v>16896.38</v>
      </c>
      <c r="L92" s="2">
        <v>0</v>
      </c>
      <c r="M92" s="2">
        <v>16896.38</v>
      </c>
      <c r="N92" s="12">
        <v>0</v>
      </c>
      <c r="O92" s="2">
        <v>0</v>
      </c>
      <c r="P92" s="2">
        <v>0</v>
      </c>
      <c r="Q92" s="2">
        <v>0</v>
      </c>
      <c r="R92" s="2">
        <v>0</v>
      </c>
      <c r="S92" s="8" t="s">
        <v>982</v>
      </c>
      <c r="T92" s="14" t="s">
        <v>328</v>
      </c>
      <c r="U92" s="10" t="s">
        <v>328</v>
      </c>
      <c r="V92" s="10" t="s">
        <v>328</v>
      </c>
      <c r="W92" s="1" t="s">
        <v>328</v>
      </c>
    </row>
    <row r="93" spans="1:23" x14ac:dyDescent="0.25">
      <c r="A93" s="1" t="s">
        <v>97</v>
      </c>
      <c r="B93" s="1" t="s">
        <v>98</v>
      </c>
      <c r="C93" s="1" t="s">
        <v>19</v>
      </c>
      <c r="D93" s="1">
        <v>30545788167</v>
      </c>
      <c r="E93" s="1" t="s">
        <v>20</v>
      </c>
      <c r="F93" s="1" t="s">
        <v>370</v>
      </c>
      <c r="G93" s="1" t="s">
        <v>53</v>
      </c>
      <c r="H93" s="1" t="s">
        <v>54</v>
      </c>
      <c r="I93" s="1" t="s">
        <v>560</v>
      </c>
      <c r="J93" s="2">
        <v>27</v>
      </c>
      <c r="K93" s="12">
        <v>232304.84</v>
      </c>
      <c r="L93" s="2">
        <v>178696.03</v>
      </c>
      <c r="M93" s="2">
        <v>0</v>
      </c>
      <c r="N93" s="12">
        <v>48247.93</v>
      </c>
      <c r="O93" s="2">
        <v>5360.88</v>
      </c>
      <c r="P93" s="2">
        <v>0</v>
      </c>
      <c r="Q93" s="2">
        <v>0</v>
      </c>
      <c r="R93" s="2">
        <v>0</v>
      </c>
      <c r="S93" s="8" t="s">
        <v>983</v>
      </c>
      <c r="T93" s="14" t="s">
        <v>328</v>
      </c>
      <c r="U93" s="10" t="s">
        <v>328</v>
      </c>
      <c r="V93" s="10" t="s">
        <v>328</v>
      </c>
      <c r="W93" s="1" t="s">
        <v>328</v>
      </c>
    </row>
    <row r="94" spans="1:23" x14ac:dyDescent="0.25">
      <c r="A94" s="1" t="s">
        <v>97</v>
      </c>
      <c r="B94" s="1" t="s">
        <v>98</v>
      </c>
      <c r="C94" s="1" t="s">
        <v>19</v>
      </c>
      <c r="D94" s="1">
        <v>30545788167</v>
      </c>
      <c r="E94" s="1" t="s">
        <v>20</v>
      </c>
      <c r="F94" s="1" t="s">
        <v>370</v>
      </c>
      <c r="G94" s="1" t="s">
        <v>53</v>
      </c>
      <c r="H94" s="1" t="s">
        <v>54</v>
      </c>
      <c r="I94" s="1" t="s">
        <v>560</v>
      </c>
      <c r="J94" s="2">
        <v>0</v>
      </c>
      <c r="K94" s="12">
        <v>12145.99</v>
      </c>
      <c r="L94" s="2">
        <v>0</v>
      </c>
      <c r="M94" s="2">
        <v>12145.99</v>
      </c>
      <c r="N94" s="12">
        <v>0</v>
      </c>
      <c r="O94" s="2">
        <v>0</v>
      </c>
      <c r="P94" s="2">
        <v>0</v>
      </c>
      <c r="Q94" s="2">
        <v>0</v>
      </c>
      <c r="R94" s="2">
        <v>0</v>
      </c>
      <c r="S94" s="8" t="s">
        <v>983</v>
      </c>
      <c r="T94" s="14" t="s">
        <v>328</v>
      </c>
      <c r="U94" s="10" t="s">
        <v>328</v>
      </c>
      <c r="V94" s="10" t="s">
        <v>328</v>
      </c>
      <c r="W94" s="1" t="s">
        <v>328</v>
      </c>
    </row>
    <row r="95" spans="1:23" x14ac:dyDescent="0.25">
      <c r="A95" s="1" t="s">
        <v>33</v>
      </c>
      <c r="B95" s="1" t="s">
        <v>34</v>
      </c>
      <c r="C95" s="1" t="s">
        <v>19</v>
      </c>
      <c r="D95" s="1">
        <v>33708336969</v>
      </c>
      <c r="E95" s="1" t="s">
        <v>20</v>
      </c>
      <c r="F95" s="1" t="s">
        <v>370</v>
      </c>
      <c r="G95" s="1" t="s">
        <v>53</v>
      </c>
      <c r="H95" s="1" t="s">
        <v>54</v>
      </c>
      <c r="I95" s="1" t="s">
        <v>561</v>
      </c>
      <c r="J95" s="2">
        <v>21</v>
      </c>
      <c r="K95" s="12">
        <v>8900</v>
      </c>
      <c r="L95" s="2">
        <v>7355.37</v>
      </c>
      <c r="M95" s="2">
        <v>0</v>
      </c>
      <c r="N95" s="12">
        <v>1544.63</v>
      </c>
      <c r="O95" s="2">
        <v>0</v>
      </c>
      <c r="P95" s="2">
        <v>0</v>
      </c>
      <c r="Q95" s="2">
        <v>0</v>
      </c>
      <c r="R95" s="2">
        <v>0</v>
      </c>
      <c r="S95" s="8" t="s">
        <v>984</v>
      </c>
      <c r="T95" s="14" t="s">
        <v>328</v>
      </c>
      <c r="U95" s="10" t="s">
        <v>328</v>
      </c>
      <c r="V95" s="10" t="s">
        <v>328</v>
      </c>
      <c r="W95" s="1" t="s">
        <v>328</v>
      </c>
    </row>
    <row r="96" spans="1:23" x14ac:dyDescent="0.25">
      <c r="A96" s="1" t="s">
        <v>33</v>
      </c>
      <c r="B96" s="1" t="s">
        <v>34</v>
      </c>
      <c r="C96" s="1" t="s">
        <v>19</v>
      </c>
      <c r="D96" s="1">
        <v>33708336969</v>
      </c>
      <c r="E96" s="1" t="s">
        <v>20</v>
      </c>
      <c r="F96" s="1" t="s">
        <v>370</v>
      </c>
      <c r="G96" s="1" t="s">
        <v>53</v>
      </c>
      <c r="H96" s="1" t="s">
        <v>54</v>
      </c>
      <c r="I96" s="1" t="s">
        <v>562</v>
      </c>
      <c r="J96" s="2">
        <v>21</v>
      </c>
      <c r="K96" s="12">
        <v>8000</v>
      </c>
      <c r="L96" s="2">
        <v>6611.57</v>
      </c>
      <c r="M96" s="2">
        <v>0</v>
      </c>
      <c r="N96" s="12">
        <v>1388.43</v>
      </c>
      <c r="O96" s="2">
        <v>0</v>
      </c>
      <c r="P96" s="2">
        <v>0</v>
      </c>
      <c r="Q96" s="2">
        <v>0</v>
      </c>
      <c r="R96" s="2">
        <v>0</v>
      </c>
      <c r="S96" s="8" t="s">
        <v>985</v>
      </c>
      <c r="T96" s="14" t="s">
        <v>328</v>
      </c>
      <c r="U96" s="10" t="s">
        <v>328</v>
      </c>
      <c r="V96" s="10" t="s">
        <v>328</v>
      </c>
      <c r="W96" s="1" t="s">
        <v>328</v>
      </c>
    </row>
    <row r="97" spans="1:23" x14ac:dyDescent="0.25">
      <c r="A97" s="1" t="s">
        <v>33</v>
      </c>
      <c r="B97" s="1" t="s">
        <v>34</v>
      </c>
      <c r="C97" s="1" t="s">
        <v>19</v>
      </c>
      <c r="D97" s="1">
        <v>33708336969</v>
      </c>
      <c r="E97" s="1" t="s">
        <v>20</v>
      </c>
      <c r="F97" s="1" t="s">
        <v>372</v>
      </c>
      <c r="G97" s="1" t="s">
        <v>53</v>
      </c>
      <c r="H97" s="1" t="s">
        <v>54</v>
      </c>
      <c r="I97" s="1" t="s">
        <v>583</v>
      </c>
      <c r="J97" s="2">
        <v>21</v>
      </c>
      <c r="K97" s="12">
        <v>6500</v>
      </c>
      <c r="L97" s="2">
        <v>5371.9</v>
      </c>
      <c r="M97" s="2">
        <v>0</v>
      </c>
      <c r="N97" s="12">
        <v>1128.0999999999999</v>
      </c>
      <c r="O97" s="2">
        <v>0</v>
      </c>
      <c r="P97" s="2">
        <v>0</v>
      </c>
      <c r="Q97" s="2">
        <v>0</v>
      </c>
      <c r="R97" s="2">
        <v>0</v>
      </c>
      <c r="S97" s="8" t="s">
        <v>986</v>
      </c>
      <c r="T97" s="14" t="s">
        <v>328</v>
      </c>
      <c r="U97" s="10" t="s">
        <v>328</v>
      </c>
      <c r="V97" s="10" t="s">
        <v>328</v>
      </c>
      <c r="W97" s="1" t="s">
        <v>328</v>
      </c>
    </row>
    <row r="98" spans="1:23" x14ac:dyDescent="0.25">
      <c r="A98" s="1" t="s">
        <v>1055</v>
      </c>
      <c r="B98" s="1" t="s">
        <v>1056</v>
      </c>
      <c r="C98" s="1" t="s">
        <v>19</v>
      </c>
      <c r="D98" s="1">
        <v>30668473241</v>
      </c>
      <c r="E98" s="1" t="s">
        <v>20</v>
      </c>
      <c r="F98" s="1" t="s">
        <v>372</v>
      </c>
      <c r="G98" s="1" t="s">
        <v>53</v>
      </c>
      <c r="H98" s="1" t="s">
        <v>54</v>
      </c>
      <c r="I98" s="1" t="s">
        <v>1093</v>
      </c>
      <c r="J98" s="2">
        <v>21</v>
      </c>
      <c r="K98" s="12">
        <v>123518.37</v>
      </c>
      <c r="L98" s="2">
        <v>102081.3</v>
      </c>
      <c r="M98" s="2">
        <v>0</v>
      </c>
      <c r="N98" s="12">
        <v>21437.07</v>
      </c>
      <c r="O98" s="2">
        <v>0</v>
      </c>
      <c r="P98" s="2">
        <v>0</v>
      </c>
      <c r="Q98" s="2">
        <v>0</v>
      </c>
      <c r="R98" s="2">
        <v>0</v>
      </c>
      <c r="S98" s="8" t="s">
        <v>1221</v>
      </c>
      <c r="T98" s="14" t="s">
        <v>328</v>
      </c>
      <c r="U98" s="10" t="s">
        <v>328</v>
      </c>
      <c r="V98" s="10" t="s">
        <v>328</v>
      </c>
      <c r="W98" s="1" t="s">
        <v>328</v>
      </c>
    </row>
    <row r="99" spans="1:23" x14ac:dyDescent="0.25">
      <c r="A99" s="1" t="s">
        <v>1055</v>
      </c>
      <c r="B99" s="1" t="s">
        <v>1056</v>
      </c>
      <c r="C99" s="1" t="s">
        <v>19</v>
      </c>
      <c r="D99" s="1">
        <v>30668473241</v>
      </c>
      <c r="E99" s="1" t="s">
        <v>20</v>
      </c>
      <c r="F99" s="1" t="s">
        <v>372</v>
      </c>
      <c r="G99" s="1" t="s">
        <v>53</v>
      </c>
      <c r="H99" s="1" t="s">
        <v>54</v>
      </c>
      <c r="I99" s="1" t="s">
        <v>1093</v>
      </c>
      <c r="J99" s="2">
        <v>0</v>
      </c>
      <c r="K99" s="12">
        <v>9492.57</v>
      </c>
      <c r="L99" s="2">
        <v>0</v>
      </c>
      <c r="M99" s="2">
        <v>9492.57</v>
      </c>
      <c r="N99" s="12">
        <v>0</v>
      </c>
      <c r="O99" s="2">
        <v>0</v>
      </c>
      <c r="P99" s="2">
        <v>0</v>
      </c>
      <c r="Q99" s="2">
        <v>0</v>
      </c>
      <c r="R99" s="2">
        <v>0</v>
      </c>
      <c r="S99" s="8" t="s">
        <v>1221</v>
      </c>
      <c r="T99" s="14" t="s">
        <v>328</v>
      </c>
      <c r="U99" s="10" t="s">
        <v>328</v>
      </c>
      <c r="V99" s="10" t="s">
        <v>328</v>
      </c>
      <c r="W99" s="1" t="s">
        <v>328</v>
      </c>
    </row>
    <row r="100" spans="1:23" x14ac:dyDescent="0.25">
      <c r="A100" s="1" t="s">
        <v>595</v>
      </c>
      <c r="B100" s="1" t="s">
        <v>596</v>
      </c>
      <c r="C100" s="1" t="s">
        <v>19</v>
      </c>
      <c r="D100" s="1">
        <v>27064112517</v>
      </c>
      <c r="E100" s="1" t="s">
        <v>20</v>
      </c>
      <c r="F100" s="1" t="s">
        <v>376</v>
      </c>
      <c r="G100" s="1" t="s">
        <v>53</v>
      </c>
      <c r="H100" s="1" t="s">
        <v>54</v>
      </c>
      <c r="I100" s="1" t="s">
        <v>597</v>
      </c>
      <c r="J100" s="2">
        <v>21</v>
      </c>
      <c r="K100" s="12">
        <v>12000</v>
      </c>
      <c r="L100" s="2">
        <v>9917.36</v>
      </c>
      <c r="M100" s="2">
        <v>0</v>
      </c>
      <c r="N100" s="12">
        <v>2082.64</v>
      </c>
      <c r="O100" s="2">
        <v>0</v>
      </c>
      <c r="P100" s="2">
        <v>0</v>
      </c>
      <c r="Q100" s="2">
        <v>0</v>
      </c>
      <c r="R100" s="2">
        <v>0</v>
      </c>
      <c r="S100" s="8" t="s">
        <v>987</v>
      </c>
      <c r="T100" s="14" t="s">
        <v>328</v>
      </c>
      <c r="U100" s="10" t="s">
        <v>328</v>
      </c>
      <c r="V100" s="10" t="s">
        <v>328</v>
      </c>
      <c r="W100" s="1" t="s">
        <v>328</v>
      </c>
    </row>
    <row r="101" spans="1:23" x14ac:dyDescent="0.25">
      <c r="A101" s="1" t="s">
        <v>97</v>
      </c>
      <c r="B101" s="1" t="s">
        <v>98</v>
      </c>
      <c r="C101" s="1" t="s">
        <v>19</v>
      </c>
      <c r="D101" s="1">
        <v>30545788167</v>
      </c>
      <c r="E101" s="1" t="s">
        <v>20</v>
      </c>
      <c r="F101" s="1" t="s">
        <v>376</v>
      </c>
      <c r="G101" s="1" t="s">
        <v>53</v>
      </c>
      <c r="H101" s="1" t="s">
        <v>54</v>
      </c>
      <c r="I101" s="1" t="s">
        <v>1095</v>
      </c>
      <c r="J101" s="2">
        <v>27</v>
      </c>
      <c r="K101" s="12">
        <v>355948.82</v>
      </c>
      <c r="L101" s="2">
        <v>273806.78999999998</v>
      </c>
      <c r="M101" s="2">
        <v>0</v>
      </c>
      <c r="N101" s="12">
        <v>73927.83</v>
      </c>
      <c r="O101" s="2">
        <v>8214.2000000000007</v>
      </c>
      <c r="P101" s="2">
        <v>0</v>
      </c>
      <c r="Q101" s="2">
        <v>0</v>
      </c>
      <c r="R101" s="2">
        <v>0</v>
      </c>
      <c r="S101" s="8" t="s">
        <v>1222</v>
      </c>
      <c r="T101" s="14" t="s">
        <v>328</v>
      </c>
      <c r="U101" s="10" t="s">
        <v>328</v>
      </c>
      <c r="V101" s="10" t="s">
        <v>328</v>
      </c>
      <c r="W101" s="1" t="s">
        <v>328</v>
      </c>
    </row>
    <row r="102" spans="1:23" x14ac:dyDescent="0.25">
      <c r="A102" s="1" t="s">
        <v>97</v>
      </c>
      <c r="B102" s="1" t="s">
        <v>98</v>
      </c>
      <c r="C102" s="1" t="s">
        <v>19</v>
      </c>
      <c r="D102" s="1">
        <v>30545788167</v>
      </c>
      <c r="E102" s="1" t="s">
        <v>20</v>
      </c>
      <c r="F102" s="1" t="s">
        <v>376</v>
      </c>
      <c r="G102" s="1" t="s">
        <v>53</v>
      </c>
      <c r="H102" s="1" t="s">
        <v>54</v>
      </c>
      <c r="I102" s="1" t="s">
        <v>1095</v>
      </c>
      <c r="J102" s="2">
        <v>0</v>
      </c>
      <c r="K102" s="12">
        <v>18908.62</v>
      </c>
      <c r="L102" s="2">
        <v>0</v>
      </c>
      <c r="M102" s="2">
        <v>18908.62</v>
      </c>
      <c r="N102" s="12">
        <v>0</v>
      </c>
      <c r="O102" s="2">
        <v>0</v>
      </c>
      <c r="P102" s="2">
        <v>0</v>
      </c>
      <c r="Q102" s="2">
        <v>0</v>
      </c>
      <c r="R102" s="2">
        <v>0</v>
      </c>
      <c r="S102" s="8" t="s">
        <v>1222</v>
      </c>
      <c r="T102" s="14" t="s">
        <v>328</v>
      </c>
      <c r="U102" s="10" t="s">
        <v>328</v>
      </c>
      <c r="V102" s="10" t="s">
        <v>328</v>
      </c>
      <c r="W102" s="1" t="s">
        <v>328</v>
      </c>
    </row>
    <row r="103" spans="1:23" x14ac:dyDescent="0.25">
      <c r="A103" s="1" t="s">
        <v>97</v>
      </c>
      <c r="B103" s="1" t="s">
        <v>98</v>
      </c>
      <c r="C103" s="1" t="s">
        <v>19</v>
      </c>
      <c r="D103" s="1">
        <v>30545788167</v>
      </c>
      <c r="E103" s="1" t="s">
        <v>20</v>
      </c>
      <c r="F103" s="1" t="s">
        <v>376</v>
      </c>
      <c r="G103" s="1" t="s">
        <v>53</v>
      </c>
      <c r="H103" s="1" t="s">
        <v>54</v>
      </c>
      <c r="I103" s="1" t="s">
        <v>1096</v>
      </c>
      <c r="J103" s="2">
        <v>27</v>
      </c>
      <c r="K103" s="12">
        <v>230772.97</v>
      </c>
      <c r="L103" s="2">
        <v>177517.67</v>
      </c>
      <c r="M103" s="2">
        <v>0</v>
      </c>
      <c r="N103" s="12">
        <v>47929.77</v>
      </c>
      <c r="O103" s="2">
        <v>5325.53</v>
      </c>
      <c r="P103" s="2">
        <v>0</v>
      </c>
      <c r="Q103" s="2">
        <v>0</v>
      </c>
      <c r="R103" s="2">
        <v>0</v>
      </c>
      <c r="S103" s="8" t="s">
        <v>1223</v>
      </c>
      <c r="T103" s="14" t="s">
        <v>328</v>
      </c>
      <c r="U103" s="10" t="s">
        <v>328</v>
      </c>
      <c r="V103" s="10" t="s">
        <v>328</v>
      </c>
      <c r="W103" s="1" t="s">
        <v>328</v>
      </c>
    </row>
    <row r="104" spans="1:23" x14ac:dyDescent="0.25">
      <c r="A104" s="1" t="s">
        <v>97</v>
      </c>
      <c r="B104" s="1" t="s">
        <v>98</v>
      </c>
      <c r="C104" s="1" t="s">
        <v>19</v>
      </c>
      <c r="D104" s="1">
        <v>30545788167</v>
      </c>
      <c r="E104" s="1" t="s">
        <v>20</v>
      </c>
      <c r="F104" s="1" t="s">
        <v>376</v>
      </c>
      <c r="G104" s="1" t="s">
        <v>53</v>
      </c>
      <c r="H104" s="1" t="s">
        <v>54</v>
      </c>
      <c r="I104" s="1" t="s">
        <v>1096</v>
      </c>
      <c r="J104" s="2">
        <v>0</v>
      </c>
      <c r="K104" s="12">
        <v>12057.61</v>
      </c>
      <c r="L104" s="2">
        <v>0</v>
      </c>
      <c r="M104" s="2">
        <v>12057.61</v>
      </c>
      <c r="N104" s="12">
        <v>0</v>
      </c>
      <c r="O104" s="2">
        <v>0</v>
      </c>
      <c r="P104" s="2">
        <v>0</v>
      </c>
      <c r="Q104" s="2">
        <v>0</v>
      </c>
      <c r="R104" s="2">
        <v>0</v>
      </c>
      <c r="S104" s="8" t="s">
        <v>1223</v>
      </c>
      <c r="T104" s="14" t="s">
        <v>328</v>
      </c>
      <c r="U104" s="10" t="s">
        <v>328</v>
      </c>
      <c r="V104" s="10" t="s">
        <v>328</v>
      </c>
      <c r="W104" s="1" t="s">
        <v>328</v>
      </c>
    </row>
    <row r="105" spans="1:23" x14ac:dyDescent="0.25">
      <c r="A105" s="1" t="s">
        <v>97</v>
      </c>
      <c r="B105" s="1" t="s">
        <v>98</v>
      </c>
      <c r="C105" s="1" t="s">
        <v>19</v>
      </c>
      <c r="D105" s="1">
        <v>30545788167</v>
      </c>
      <c r="E105" s="1" t="s">
        <v>20</v>
      </c>
      <c r="F105" s="1" t="s">
        <v>381</v>
      </c>
      <c r="G105" s="1" t="s">
        <v>53</v>
      </c>
      <c r="H105" s="1" t="s">
        <v>54</v>
      </c>
      <c r="I105" s="1" t="s">
        <v>1098</v>
      </c>
      <c r="J105" s="2">
        <v>27</v>
      </c>
      <c r="K105" s="12">
        <v>247116.09</v>
      </c>
      <c r="L105" s="2">
        <v>190089.3</v>
      </c>
      <c r="M105" s="2">
        <v>0</v>
      </c>
      <c r="N105" s="12">
        <v>51324.11</v>
      </c>
      <c r="O105" s="2">
        <v>5702.68</v>
      </c>
      <c r="P105" s="2">
        <v>0</v>
      </c>
      <c r="Q105" s="2">
        <v>0</v>
      </c>
      <c r="R105" s="2">
        <v>0</v>
      </c>
      <c r="S105" s="8" t="s">
        <v>1224</v>
      </c>
      <c r="T105" s="14" t="s">
        <v>328</v>
      </c>
      <c r="U105" s="10" t="s">
        <v>328</v>
      </c>
      <c r="V105" s="10" t="s">
        <v>328</v>
      </c>
      <c r="W105" s="1" t="s">
        <v>328</v>
      </c>
    </row>
    <row r="106" spans="1:23" x14ac:dyDescent="0.25">
      <c r="A106" s="1" t="s">
        <v>97</v>
      </c>
      <c r="B106" s="1" t="s">
        <v>98</v>
      </c>
      <c r="C106" s="1" t="s">
        <v>19</v>
      </c>
      <c r="D106" s="1">
        <v>30545788167</v>
      </c>
      <c r="E106" s="1" t="s">
        <v>20</v>
      </c>
      <c r="F106" s="1" t="s">
        <v>381</v>
      </c>
      <c r="G106" s="1" t="s">
        <v>53</v>
      </c>
      <c r="H106" s="1" t="s">
        <v>54</v>
      </c>
      <c r="I106" s="1" t="s">
        <v>1098</v>
      </c>
      <c r="J106" s="2">
        <v>0</v>
      </c>
      <c r="K106" s="12">
        <v>14563.04</v>
      </c>
      <c r="L106" s="2">
        <v>0</v>
      </c>
      <c r="M106" s="2">
        <v>14563.04</v>
      </c>
      <c r="N106" s="12">
        <v>0</v>
      </c>
      <c r="O106" s="2">
        <v>0</v>
      </c>
      <c r="P106" s="2">
        <v>0</v>
      </c>
      <c r="Q106" s="2">
        <v>0</v>
      </c>
      <c r="R106" s="2">
        <v>0</v>
      </c>
      <c r="S106" s="8" t="s">
        <v>1224</v>
      </c>
      <c r="T106" s="14" t="s">
        <v>328</v>
      </c>
      <c r="U106" s="10" t="s">
        <v>328</v>
      </c>
      <c r="V106" s="10" t="s">
        <v>328</v>
      </c>
      <c r="W106" s="1" t="s">
        <v>328</v>
      </c>
    </row>
    <row r="107" spans="1:23" x14ac:dyDescent="0.25">
      <c r="A107" s="1" t="s">
        <v>97</v>
      </c>
      <c r="B107" s="1" t="s">
        <v>98</v>
      </c>
      <c r="C107" s="1" t="s">
        <v>19</v>
      </c>
      <c r="D107" s="1">
        <v>30545788167</v>
      </c>
      <c r="E107" s="1" t="s">
        <v>20</v>
      </c>
      <c r="F107" s="1" t="s">
        <v>381</v>
      </c>
      <c r="G107" s="1" t="s">
        <v>53</v>
      </c>
      <c r="H107" s="1" t="s">
        <v>54</v>
      </c>
      <c r="I107" s="1" t="s">
        <v>1099</v>
      </c>
      <c r="J107" s="2">
        <v>27</v>
      </c>
      <c r="K107" s="12">
        <v>272890.5</v>
      </c>
      <c r="L107" s="2">
        <v>209915.77</v>
      </c>
      <c r="M107" s="2">
        <v>0</v>
      </c>
      <c r="N107" s="12">
        <v>56677.26</v>
      </c>
      <c r="O107" s="2">
        <v>6297.47</v>
      </c>
      <c r="P107" s="2">
        <v>0</v>
      </c>
      <c r="Q107" s="2">
        <v>0</v>
      </c>
      <c r="R107" s="2">
        <v>0</v>
      </c>
      <c r="S107" s="8" t="s">
        <v>1225</v>
      </c>
      <c r="T107" s="14" t="s">
        <v>328</v>
      </c>
      <c r="U107" s="10" t="s">
        <v>328</v>
      </c>
      <c r="V107" s="10" t="s">
        <v>328</v>
      </c>
      <c r="W107" s="1" t="s">
        <v>328</v>
      </c>
    </row>
    <row r="108" spans="1:23" x14ac:dyDescent="0.25">
      <c r="A108" s="1" t="s">
        <v>97</v>
      </c>
      <c r="B108" s="1" t="s">
        <v>98</v>
      </c>
      <c r="C108" s="1" t="s">
        <v>19</v>
      </c>
      <c r="D108" s="1">
        <v>30545788167</v>
      </c>
      <c r="E108" s="1" t="s">
        <v>20</v>
      </c>
      <c r="F108" s="1" t="s">
        <v>381</v>
      </c>
      <c r="G108" s="1" t="s">
        <v>53</v>
      </c>
      <c r="H108" s="1" t="s">
        <v>54</v>
      </c>
      <c r="I108" s="1" t="s">
        <v>1099</v>
      </c>
      <c r="J108" s="2">
        <v>0</v>
      </c>
      <c r="K108" s="12">
        <v>14487.48</v>
      </c>
      <c r="L108" s="2">
        <v>0</v>
      </c>
      <c r="M108" s="2">
        <v>14487.48</v>
      </c>
      <c r="N108" s="12">
        <v>0</v>
      </c>
      <c r="O108" s="2">
        <v>0</v>
      </c>
      <c r="P108" s="2">
        <v>0</v>
      </c>
      <c r="Q108" s="2">
        <v>0</v>
      </c>
      <c r="R108" s="2">
        <v>0</v>
      </c>
      <c r="S108" s="8" t="s">
        <v>1225</v>
      </c>
      <c r="T108" s="14" t="s">
        <v>328</v>
      </c>
      <c r="U108" s="10" t="s">
        <v>328</v>
      </c>
      <c r="V108" s="10" t="s">
        <v>328</v>
      </c>
      <c r="W108" s="1" t="s">
        <v>328</v>
      </c>
    </row>
    <row r="109" spans="1:23" x14ac:dyDescent="0.25">
      <c r="A109" s="1" t="s">
        <v>635</v>
      </c>
      <c r="B109" s="1" t="s">
        <v>636</v>
      </c>
      <c r="C109" s="1" t="s">
        <v>19</v>
      </c>
      <c r="D109" s="1">
        <v>30693186230</v>
      </c>
      <c r="E109" s="1" t="s">
        <v>20</v>
      </c>
      <c r="F109" s="1" t="s">
        <v>381</v>
      </c>
      <c r="G109" s="1" t="s">
        <v>53</v>
      </c>
      <c r="H109" s="1" t="s">
        <v>54</v>
      </c>
      <c r="I109" s="1" t="s">
        <v>637</v>
      </c>
      <c r="J109" s="2">
        <v>21</v>
      </c>
      <c r="K109" s="12">
        <v>19212.48</v>
      </c>
      <c r="L109" s="2">
        <v>15878.08</v>
      </c>
      <c r="M109" s="2">
        <v>0</v>
      </c>
      <c r="N109" s="12">
        <v>3334.4</v>
      </c>
      <c r="O109" s="2">
        <v>0</v>
      </c>
      <c r="P109" s="2">
        <v>0</v>
      </c>
      <c r="Q109" s="2">
        <v>0</v>
      </c>
      <c r="R109" s="2">
        <v>0</v>
      </c>
      <c r="S109" s="8" t="s">
        <v>988</v>
      </c>
      <c r="T109" s="14" t="s">
        <v>328</v>
      </c>
      <c r="U109" s="10" t="s">
        <v>328</v>
      </c>
      <c r="V109" s="10" t="s">
        <v>328</v>
      </c>
      <c r="W109" s="1" t="s">
        <v>328</v>
      </c>
    </row>
    <row r="110" spans="1:23" x14ac:dyDescent="0.25">
      <c r="A110" s="1" t="s">
        <v>635</v>
      </c>
      <c r="B110" s="1" t="s">
        <v>636</v>
      </c>
      <c r="C110" s="1" t="s">
        <v>19</v>
      </c>
      <c r="D110" s="1">
        <v>30693186230</v>
      </c>
      <c r="E110" s="1" t="s">
        <v>20</v>
      </c>
      <c r="F110" s="1" t="s">
        <v>381</v>
      </c>
      <c r="G110" s="1" t="s">
        <v>53</v>
      </c>
      <c r="H110" s="1" t="s">
        <v>54</v>
      </c>
      <c r="I110" s="1" t="s">
        <v>637</v>
      </c>
      <c r="J110" s="2">
        <v>0</v>
      </c>
      <c r="K110" s="12">
        <v>37.520000000000003</v>
      </c>
      <c r="L110" s="2">
        <v>0</v>
      </c>
      <c r="M110" s="2">
        <v>37.520000000000003</v>
      </c>
      <c r="N110" s="12">
        <v>0</v>
      </c>
      <c r="O110" s="2">
        <v>0</v>
      </c>
      <c r="P110" s="2">
        <v>0</v>
      </c>
      <c r="Q110" s="2">
        <v>0</v>
      </c>
      <c r="R110" s="2">
        <v>0</v>
      </c>
      <c r="S110" s="8" t="s">
        <v>988</v>
      </c>
      <c r="T110" s="14" t="s">
        <v>328</v>
      </c>
      <c r="U110" s="10" t="s">
        <v>328</v>
      </c>
      <c r="V110" s="10" t="s">
        <v>328</v>
      </c>
      <c r="W110" s="1" t="s">
        <v>328</v>
      </c>
    </row>
    <row r="111" spans="1:23" x14ac:dyDescent="0.25">
      <c r="A111" s="1" t="s">
        <v>1084</v>
      </c>
      <c r="B111" s="1" t="s">
        <v>1085</v>
      </c>
      <c r="C111" s="1" t="s">
        <v>19</v>
      </c>
      <c r="D111" s="1">
        <v>30690887661</v>
      </c>
      <c r="E111" s="1" t="s">
        <v>20</v>
      </c>
      <c r="F111" s="1" t="s">
        <v>381</v>
      </c>
      <c r="G111" s="1" t="s">
        <v>53</v>
      </c>
      <c r="H111" s="1" t="s">
        <v>54</v>
      </c>
      <c r="I111" s="1" t="s">
        <v>1103</v>
      </c>
      <c r="J111" s="2">
        <v>21</v>
      </c>
      <c r="K111" s="12">
        <v>6599.07</v>
      </c>
      <c r="L111" s="2">
        <v>5453.78</v>
      </c>
      <c r="M111" s="2">
        <v>0</v>
      </c>
      <c r="N111" s="12">
        <v>1145.29</v>
      </c>
      <c r="O111" s="2">
        <v>0</v>
      </c>
      <c r="P111" s="2">
        <v>0</v>
      </c>
      <c r="Q111" s="2">
        <v>0</v>
      </c>
      <c r="R111" s="2">
        <v>0</v>
      </c>
      <c r="S111" s="8" t="s">
        <v>1226</v>
      </c>
      <c r="T111" s="14" t="s">
        <v>328</v>
      </c>
      <c r="U111" s="10" t="s">
        <v>328</v>
      </c>
      <c r="V111" s="10" t="s">
        <v>328</v>
      </c>
      <c r="W111" s="1" t="s">
        <v>328</v>
      </c>
    </row>
    <row r="112" spans="1:23" x14ac:dyDescent="0.25">
      <c r="A112" s="1" t="s">
        <v>1084</v>
      </c>
      <c r="B112" s="1" t="s">
        <v>1085</v>
      </c>
      <c r="C112" s="1" t="s">
        <v>19</v>
      </c>
      <c r="D112" s="1">
        <v>30690887661</v>
      </c>
      <c r="E112" s="1" t="s">
        <v>20</v>
      </c>
      <c r="F112" s="1" t="s">
        <v>381</v>
      </c>
      <c r="G112" s="1" t="s">
        <v>53</v>
      </c>
      <c r="H112" s="1" t="s">
        <v>54</v>
      </c>
      <c r="I112" s="1" t="s">
        <v>1103</v>
      </c>
      <c r="J112" s="2">
        <v>0</v>
      </c>
      <c r="K112" s="12">
        <v>0.93</v>
      </c>
      <c r="L112" s="2">
        <v>0</v>
      </c>
      <c r="M112" s="2">
        <v>0.93</v>
      </c>
      <c r="N112" s="12">
        <v>0</v>
      </c>
      <c r="O112" s="2">
        <v>0</v>
      </c>
      <c r="P112" s="2">
        <v>0</v>
      </c>
      <c r="Q112" s="2">
        <v>0</v>
      </c>
      <c r="R112" s="2">
        <v>0</v>
      </c>
      <c r="S112" s="8" t="s">
        <v>1226</v>
      </c>
      <c r="T112" s="14" t="s">
        <v>328</v>
      </c>
      <c r="U112" s="10" t="s">
        <v>328</v>
      </c>
      <c r="V112" s="10" t="s">
        <v>328</v>
      </c>
      <c r="W112" s="1" t="s">
        <v>328</v>
      </c>
    </row>
    <row r="113" spans="1:23" x14ac:dyDescent="0.25">
      <c r="A113" s="1" t="s">
        <v>639</v>
      </c>
      <c r="B113" s="1" t="s">
        <v>640</v>
      </c>
      <c r="C113" s="1" t="s">
        <v>19</v>
      </c>
      <c r="D113" s="1">
        <v>30511534492</v>
      </c>
      <c r="E113" s="1" t="s">
        <v>20</v>
      </c>
      <c r="F113" s="1" t="s">
        <v>381</v>
      </c>
      <c r="G113" s="1" t="s">
        <v>53</v>
      </c>
      <c r="H113" s="1" t="s">
        <v>54</v>
      </c>
      <c r="I113" s="1" t="s">
        <v>641</v>
      </c>
      <c r="J113" s="2">
        <v>21</v>
      </c>
      <c r="K113" s="12">
        <v>44289.17</v>
      </c>
      <c r="L113" s="2">
        <v>36602.620000000003</v>
      </c>
      <c r="M113" s="2">
        <v>0</v>
      </c>
      <c r="N113" s="12">
        <v>7686.55</v>
      </c>
      <c r="O113" s="2">
        <v>0</v>
      </c>
      <c r="P113" s="2">
        <v>0</v>
      </c>
      <c r="Q113" s="2">
        <v>0</v>
      </c>
      <c r="R113" s="2">
        <v>0</v>
      </c>
      <c r="S113" s="8" t="s">
        <v>989</v>
      </c>
      <c r="T113" s="14" t="s">
        <v>328</v>
      </c>
      <c r="U113" s="10" t="s">
        <v>328</v>
      </c>
      <c r="V113" s="10" t="s">
        <v>328</v>
      </c>
      <c r="W113" s="1" t="s">
        <v>328</v>
      </c>
    </row>
    <row r="114" spans="1:23" x14ac:dyDescent="0.25">
      <c r="A114" s="1" t="s">
        <v>639</v>
      </c>
      <c r="B114" s="1" t="s">
        <v>640</v>
      </c>
      <c r="C114" s="1" t="s">
        <v>19</v>
      </c>
      <c r="D114" s="1">
        <v>30511534492</v>
      </c>
      <c r="E114" s="1" t="s">
        <v>20</v>
      </c>
      <c r="F114" s="1" t="s">
        <v>381</v>
      </c>
      <c r="G114" s="1" t="s">
        <v>53</v>
      </c>
      <c r="H114" s="1" t="s">
        <v>54</v>
      </c>
      <c r="I114" s="1" t="s">
        <v>641</v>
      </c>
      <c r="J114" s="2">
        <v>0</v>
      </c>
      <c r="K114" s="12">
        <v>8711.1200000000008</v>
      </c>
      <c r="L114" s="2">
        <v>0</v>
      </c>
      <c r="M114" s="2">
        <v>8711.1200000000008</v>
      </c>
      <c r="N114" s="12">
        <v>0</v>
      </c>
      <c r="O114" s="2">
        <v>0</v>
      </c>
      <c r="P114" s="2">
        <v>0</v>
      </c>
      <c r="Q114" s="2">
        <v>0</v>
      </c>
      <c r="R114" s="2">
        <v>0</v>
      </c>
      <c r="S114" s="8" t="s">
        <v>989</v>
      </c>
      <c r="T114" s="14" t="s">
        <v>328</v>
      </c>
      <c r="U114" s="10" t="s">
        <v>328</v>
      </c>
      <c r="V114" s="10" t="s">
        <v>328</v>
      </c>
      <c r="W114" s="1" t="s">
        <v>328</v>
      </c>
    </row>
    <row r="115" spans="1:23" x14ac:dyDescent="0.25">
      <c r="A115" s="1" t="s">
        <v>1104</v>
      </c>
      <c r="B115" s="1" t="s">
        <v>1105</v>
      </c>
      <c r="C115" s="1" t="s">
        <v>19</v>
      </c>
      <c r="D115" s="1">
        <v>30709514144</v>
      </c>
      <c r="E115" s="1" t="s">
        <v>20</v>
      </c>
      <c r="F115" s="1" t="s">
        <v>381</v>
      </c>
      <c r="G115" s="1" t="s">
        <v>53</v>
      </c>
      <c r="H115" s="1" t="s">
        <v>54</v>
      </c>
      <c r="I115" s="1" t="s">
        <v>1106</v>
      </c>
      <c r="J115" s="2">
        <v>27</v>
      </c>
      <c r="K115" s="12">
        <v>145631.07</v>
      </c>
      <c r="L115" s="2">
        <v>112023.9</v>
      </c>
      <c r="M115" s="2">
        <v>0</v>
      </c>
      <c r="N115" s="12">
        <v>30246.45</v>
      </c>
      <c r="O115" s="2">
        <v>3360.72</v>
      </c>
      <c r="P115" s="2">
        <v>0</v>
      </c>
      <c r="Q115" s="2">
        <v>0</v>
      </c>
      <c r="R115" s="2">
        <v>0</v>
      </c>
      <c r="S115" s="8" t="s">
        <v>1227</v>
      </c>
      <c r="T115" s="14" t="s">
        <v>328</v>
      </c>
      <c r="U115" s="10" t="s">
        <v>328</v>
      </c>
      <c r="V115" s="10" t="s">
        <v>328</v>
      </c>
      <c r="W115" s="1" t="s">
        <v>328</v>
      </c>
    </row>
    <row r="116" spans="1:23" x14ac:dyDescent="0.25">
      <c r="A116" s="1" t="s">
        <v>1104</v>
      </c>
      <c r="B116" s="1" t="s">
        <v>1105</v>
      </c>
      <c r="C116" s="1" t="s">
        <v>19</v>
      </c>
      <c r="D116" s="1">
        <v>30709514144</v>
      </c>
      <c r="E116" s="1" t="s">
        <v>20</v>
      </c>
      <c r="F116" s="1" t="s">
        <v>381</v>
      </c>
      <c r="G116" s="1" t="s">
        <v>53</v>
      </c>
      <c r="H116" s="1" t="s">
        <v>54</v>
      </c>
      <c r="I116" s="1" t="s">
        <v>1106</v>
      </c>
      <c r="J116" s="2">
        <v>0</v>
      </c>
      <c r="K116" s="12">
        <v>14115.01</v>
      </c>
      <c r="L116" s="2">
        <v>0</v>
      </c>
      <c r="M116" s="2">
        <v>14115.01</v>
      </c>
      <c r="N116" s="12">
        <v>0</v>
      </c>
      <c r="O116" s="2">
        <v>0</v>
      </c>
      <c r="P116" s="2">
        <v>0</v>
      </c>
      <c r="Q116" s="2">
        <v>0</v>
      </c>
      <c r="R116" s="2">
        <v>0</v>
      </c>
      <c r="S116" s="8" t="s">
        <v>1227</v>
      </c>
      <c r="T116" s="14" t="s">
        <v>328</v>
      </c>
      <c r="U116" s="10" t="s">
        <v>328</v>
      </c>
      <c r="V116" s="10" t="s">
        <v>328</v>
      </c>
      <c r="W116" s="1" t="s">
        <v>328</v>
      </c>
    </row>
    <row r="117" spans="1:23" x14ac:dyDescent="0.25">
      <c r="A117" s="1" t="s">
        <v>651</v>
      </c>
      <c r="B117" s="1" t="s">
        <v>652</v>
      </c>
      <c r="C117" s="1" t="s">
        <v>19</v>
      </c>
      <c r="D117" s="1">
        <v>27139111589</v>
      </c>
      <c r="E117" s="1" t="s">
        <v>20</v>
      </c>
      <c r="F117" s="1" t="s">
        <v>391</v>
      </c>
      <c r="G117" s="1" t="s">
        <v>53</v>
      </c>
      <c r="H117" s="1" t="s">
        <v>54</v>
      </c>
      <c r="I117" s="1" t="s">
        <v>653</v>
      </c>
      <c r="J117" s="2">
        <v>21</v>
      </c>
      <c r="K117" s="12">
        <v>210000</v>
      </c>
      <c r="L117" s="2">
        <v>173554.8</v>
      </c>
      <c r="M117" s="2">
        <v>0</v>
      </c>
      <c r="N117" s="12">
        <v>36445.199999999997</v>
      </c>
      <c r="O117" s="2">
        <v>0</v>
      </c>
      <c r="P117" s="2">
        <v>0</v>
      </c>
      <c r="Q117" s="2">
        <v>0</v>
      </c>
      <c r="R117" s="2">
        <v>0</v>
      </c>
      <c r="S117" s="8" t="s">
        <v>990</v>
      </c>
      <c r="T117" s="14" t="s">
        <v>328</v>
      </c>
      <c r="U117" s="10" t="s">
        <v>328</v>
      </c>
      <c r="V117" s="10" t="s">
        <v>328</v>
      </c>
      <c r="W117" s="1" t="s">
        <v>328</v>
      </c>
    </row>
    <row r="118" spans="1:23" x14ac:dyDescent="0.25">
      <c r="A118" s="1" t="s">
        <v>658</v>
      </c>
      <c r="B118" s="1" t="s">
        <v>659</v>
      </c>
      <c r="C118" s="1" t="s">
        <v>19</v>
      </c>
      <c r="D118" s="1">
        <v>30601920243</v>
      </c>
      <c r="E118" s="1" t="s">
        <v>20</v>
      </c>
      <c r="F118" s="1" t="s">
        <v>391</v>
      </c>
      <c r="G118" s="1" t="s">
        <v>53</v>
      </c>
      <c r="H118" s="1" t="s">
        <v>54</v>
      </c>
      <c r="I118" s="1" t="s">
        <v>660</v>
      </c>
      <c r="J118" s="2">
        <v>21</v>
      </c>
      <c r="K118" s="12">
        <v>39631.769999999997</v>
      </c>
      <c r="L118" s="2">
        <v>32753.53</v>
      </c>
      <c r="M118" s="2">
        <v>0</v>
      </c>
      <c r="N118" s="12">
        <v>6878.24</v>
      </c>
      <c r="O118" s="2">
        <v>0</v>
      </c>
      <c r="P118" s="2">
        <v>0</v>
      </c>
      <c r="Q118" s="2">
        <v>0</v>
      </c>
      <c r="R118" s="2">
        <v>0</v>
      </c>
      <c r="S118" s="8" t="s">
        <v>991</v>
      </c>
      <c r="T118" s="14" t="s">
        <v>328</v>
      </c>
      <c r="U118" s="10" t="s">
        <v>328</v>
      </c>
      <c r="V118" s="10" t="s">
        <v>328</v>
      </c>
      <c r="W118" s="1" t="s">
        <v>328</v>
      </c>
    </row>
    <row r="119" spans="1:23" x14ac:dyDescent="0.25">
      <c r="A119" s="1" t="s">
        <v>658</v>
      </c>
      <c r="B119" s="1" t="s">
        <v>659</v>
      </c>
      <c r="C119" s="1" t="s">
        <v>19</v>
      </c>
      <c r="D119" s="1">
        <v>30601920243</v>
      </c>
      <c r="E119" s="1" t="s">
        <v>20</v>
      </c>
      <c r="F119" s="1" t="s">
        <v>391</v>
      </c>
      <c r="G119" s="1" t="s">
        <v>53</v>
      </c>
      <c r="H119" s="1" t="s">
        <v>54</v>
      </c>
      <c r="I119" s="1" t="s">
        <v>660</v>
      </c>
      <c r="J119" s="2">
        <v>0</v>
      </c>
      <c r="K119" s="12">
        <v>7370.28</v>
      </c>
      <c r="L119" s="2">
        <v>0</v>
      </c>
      <c r="M119" s="2">
        <v>7370.28</v>
      </c>
      <c r="N119" s="12">
        <v>0</v>
      </c>
      <c r="O119" s="2">
        <v>0</v>
      </c>
      <c r="P119" s="2">
        <v>0</v>
      </c>
      <c r="Q119" s="2">
        <v>0</v>
      </c>
      <c r="R119" s="2">
        <v>0</v>
      </c>
      <c r="S119" s="8" t="s">
        <v>991</v>
      </c>
      <c r="T119" s="14" t="s">
        <v>328</v>
      </c>
      <c r="U119" s="10" t="s">
        <v>328</v>
      </c>
      <c r="V119" s="10" t="s">
        <v>328</v>
      </c>
      <c r="W119" s="1" t="s">
        <v>328</v>
      </c>
    </row>
    <row r="120" spans="1:23" x14ac:dyDescent="0.25">
      <c r="A120" s="1" t="s">
        <v>658</v>
      </c>
      <c r="B120" s="1" t="s">
        <v>659</v>
      </c>
      <c r="C120" s="1" t="s">
        <v>19</v>
      </c>
      <c r="D120" s="1">
        <v>30601920243</v>
      </c>
      <c r="E120" s="1" t="s">
        <v>20</v>
      </c>
      <c r="F120" s="1" t="s">
        <v>391</v>
      </c>
      <c r="G120" s="1" t="s">
        <v>53</v>
      </c>
      <c r="H120" s="1" t="s">
        <v>54</v>
      </c>
      <c r="I120" s="1" t="s">
        <v>661</v>
      </c>
      <c r="J120" s="2">
        <v>21</v>
      </c>
      <c r="K120" s="12">
        <v>16052.95</v>
      </c>
      <c r="L120" s="2">
        <v>13266.9</v>
      </c>
      <c r="M120" s="2">
        <v>0</v>
      </c>
      <c r="N120" s="12">
        <v>2786.05</v>
      </c>
      <c r="O120" s="2">
        <v>0</v>
      </c>
      <c r="P120" s="2">
        <v>0</v>
      </c>
      <c r="Q120" s="2">
        <v>0</v>
      </c>
      <c r="R120" s="2">
        <v>0</v>
      </c>
      <c r="S120" s="8" t="s">
        <v>992</v>
      </c>
      <c r="T120" s="14" t="s">
        <v>328</v>
      </c>
      <c r="U120" s="10" t="s">
        <v>328</v>
      </c>
      <c r="V120" s="10" t="s">
        <v>328</v>
      </c>
      <c r="W120" s="1" t="s">
        <v>328</v>
      </c>
    </row>
    <row r="121" spans="1:23" x14ac:dyDescent="0.25">
      <c r="A121" s="1" t="s">
        <v>658</v>
      </c>
      <c r="B121" s="1" t="s">
        <v>659</v>
      </c>
      <c r="C121" s="1" t="s">
        <v>19</v>
      </c>
      <c r="D121" s="1">
        <v>30601920243</v>
      </c>
      <c r="E121" s="1" t="s">
        <v>20</v>
      </c>
      <c r="F121" s="1" t="s">
        <v>391</v>
      </c>
      <c r="G121" s="1" t="s">
        <v>53</v>
      </c>
      <c r="H121" s="1" t="s">
        <v>54</v>
      </c>
      <c r="I121" s="1" t="s">
        <v>661</v>
      </c>
      <c r="J121" s="2">
        <v>0</v>
      </c>
      <c r="K121" s="12">
        <v>47.05</v>
      </c>
      <c r="L121" s="2">
        <v>0</v>
      </c>
      <c r="M121" s="2">
        <v>47.05</v>
      </c>
      <c r="N121" s="12">
        <v>0</v>
      </c>
      <c r="O121" s="2">
        <v>0</v>
      </c>
      <c r="P121" s="2">
        <v>0</v>
      </c>
      <c r="Q121" s="2">
        <v>0</v>
      </c>
      <c r="R121" s="2">
        <v>0</v>
      </c>
      <c r="S121" s="8" t="s">
        <v>992</v>
      </c>
      <c r="T121" s="14" t="s">
        <v>328</v>
      </c>
      <c r="U121" s="10" t="s">
        <v>328</v>
      </c>
      <c r="V121" s="10" t="s">
        <v>328</v>
      </c>
      <c r="W121" s="1" t="s">
        <v>328</v>
      </c>
    </row>
    <row r="122" spans="1:23" x14ac:dyDescent="0.25">
      <c r="A122" s="1" t="s">
        <v>31</v>
      </c>
      <c r="B122" s="1" t="s">
        <v>32</v>
      </c>
      <c r="C122" s="1" t="s">
        <v>19</v>
      </c>
      <c r="D122" s="1">
        <v>30500529071</v>
      </c>
      <c r="E122" s="1" t="s">
        <v>20</v>
      </c>
      <c r="F122" s="1" t="s">
        <v>391</v>
      </c>
      <c r="G122" s="1" t="s">
        <v>53</v>
      </c>
      <c r="H122" s="1" t="s">
        <v>54</v>
      </c>
      <c r="I122" s="1" t="s">
        <v>662</v>
      </c>
      <c r="J122" s="2">
        <v>21</v>
      </c>
      <c r="K122" s="12">
        <v>8316900.0499999998</v>
      </c>
      <c r="L122" s="2">
        <v>6574624.6100000003</v>
      </c>
      <c r="M122" s="2">
        <v>0</v>
      </c>
      <c r="N122" s="12">
        <v>1380671.22</v>
      </c>
      <c r="O122" s="2">
        <v>197238.6</v>
      </c>
      <c r="P122" s="2">
        <v>164365.63</v>
      </c>
      <c r="Q122" s="2">
        <v>-0.01</v>
      </c>
      <c r="R122" s="2">
        <v>0</v>
      </c>
      <c r="S122" s="8" t="s">
        <v>993</v>
      </c>
      <c r="T122" s="14" t="s">
        <v>328</v>
      </c>
      <c r="U122" s="10" t="s">
        <v>328</v>
      </c>
      <c r="V122" s="10" t="s">
        <v>328</v>
      </c>
      <c r="W122" s="1" t="s">
        <v>328</v>
      </c>
    </row>
    <row r="123" spans="1:23" x14ac:dyDescent="0.25">
      <c r="A123" s="1" t="s">
        <v>672</v>
      </c>
      <c r="B123" s="1" t="s">
        <v>673</v>
      </c>
      <c r="C123" s="1" t="s">
        <v>19</v>
      </c>
      <c r="D123" s="1">
        <v>30548248589</v>
      </c>
      <c r="E123" s="1" t="s">
        <v>20</v>
      </c>
      <c r="F123" s="1" t="s">
        <v>397</v>
      </c>
      <c r="G123" s="1" t="s">
        <v>53</v>
      </c>
      <c r="H123" s="1" t="s">
        <v>54</v>
      </c>
      <c r="I123" s="1" t="s">
        <v>674</v>
      </c>
      <c r="J123" s="2">
        <v>21</v>
      </c>
      <c r="K123" s="12">
        <v>15700</v>
      </c>
      <c r="L123" s="2">
        <v>12975.21</v>
      </c>
      <c r="M123" s="2">
        <v>0</v>
      </c>
      <c r="N123" s="12">
        <v>2724.79</v>
      </c>
      <c r="O123" s="2">
        <v>0</v>
      </c>
      <c r="P123" s="2">
        <v>0</v>
      </c>
      <c r="Q123" s="2">
        <v>0</v>
      </c>
      <c r="R123" s="2">
        <v>0</v>
      </c>
      <c r="S123" s="8" t="s">
        <v>994</v>
      </c>
      <c r="T123" s="14" t="s">
        <v>328</v>
      </c>
      <c r="U123" s="10" t="s">
        <v>328</v>
      </c>
      <c r="V123" s="10" t="s">
        <v>328</v>
      </c>
      <c r="W123" s="1" t="s">
        <v>328</v>
      </c>
    </row>
    <row r="124" spans="1:23" x14ac:dyDescent="0.25">
      <c r="A124" s="1" t="s">
        <v>1113</v>
      </c>
      <c r="B124" s="1" t="s">
        <v>1114</v>
      </c>
      <c r="C124" s="1" t="s">
        <v>19</v>
      </c>
      <c r="D124" s="1">
        <v>30634539154</v>
      </c>
      <c r="E124" s="1" t="s">
        <v>20</v>
      </c>
      <c r="F124" s="1" t="s">
        <v>397</v>
      </c>
      <c r="G124" s="1" t="s">
        <v>53</v>
      </c>
      <c r="H124" s="1" t="s">
        <v>54</v>
      </c>
      <c r="I124" s="1" t="s">
        <v>1115</v>
      </c>
      <c r="J124" s="2">
        <v>21</v>
      </c>
      <c r="K124" s="12">
        <v>6399.99</v>
      </c>
      <c r="L124" s="2">
        <v>5289.25</v>
      </c>
      <c r="M124" s="2">
        <v>0</v>
      </c>
      <c r="N124" s="12">
        <v>1110.74</v>
      </c>
      <c r="O124" s="2">
        <v>0</v>
      </c>
      <c r="P124" s="2">
        <v>0</v>
      </c>
      <c r="Q124" s="2">
        <v>0</v>
      </c>
      <c r="R124" s="2">
        <v>0</v>
      </c>
      <c r="S124" s="8" t="s">
        <v>1228</v>
      </c>
      <c r="T124" s="14" t="s">
        <v>328</v>
      </c>
      <c r="U124" s="10" t="s">
        <v>328</v>
      </c>
      <c r="V124" s="10" t="s">
        <v>328</v>
      </c>
      <c r="W124" s="1" t="s">
        <v>328</v>
      </c>
    </row>
    <row r="125" spans="1:23" x14ac:dyDescent="0.25">
      <c r="A125" s="1" t="s">
        <v>1113</v>
      </c>
      <c r="B125" s="1" t="s">
        <v>1114</v>
      </c>
      <c r="C125" s="1" t="s">
        <v>19</v>
      </c>
      <c r="D125" s="1">
        <v>30634539154</v>
      </c>
      <c r="E125" s="1" t="s">
        <v>20</v>
      </c>
      <c r="F125" s="1" t="s">
        <v>397</v>
      </c>
      <c r="G125" s="1" t="s">
        <v>53</v>
      </c>
      <c r="H125" s="1" t="s">
        <v>54</v>
      </c>
      <c r="I125" s="1" t="s">
        <v>1115</v>
      </c>
      <c r="J125" s="2">
        <v>0</v>
      </c>
      <c r="K125" s="12">
        <v>110.25</v>
      </c>
      <c r="L125" s="2">
        <v>0</v>
      </c>
      <c r="M125" s="2">
        <v>110.25</v>
      </c>
      <c r="N125" s="12">
        <v>0</v>
      </c>
      <c r="O125" s="2">
        <v>0</v>
      </c>
      <c r="P125" s="2">
        <v>0</v>
      </c>
      <c r="Q125" s="2">
        <v>0</v>
      </c>
      <c r="R125" s="2">
        <v>0</v>
      </c>
      <c r="S125" s="8" t="s">
        <v>1228</v>
      </c>
      <c r="T125" s="14" t="s">
        <v>328</v>
      </c>
      <c r="U125" s="10" t="s">
        <v>328</v>
      </c>
      <c r="V125" s="10" t="s">
        <v>328</v>
      </c>
      <c r="W125" s="1" t="s">
        <v>328</v>
      </c>
    </row>
    <row r="126" spans="1:23" x14ac:dyDescent="0.25">
      <c r="A126" s="1" t="s">
        <v>33</v>
      </c>
      <c r="B126" s="1" t="s">
        <v>34</v>
      </c>
      <c r="C126" s="1" t="s">
        <v>19</v>
      </c>
      <c r="D126" s="1">
        <v>33708336969</v>
      </c>
      <c r="E126" s="1" t="s">
        <v>20</v>
      </c>
      <c r="F126" s="1" t="s">
        <v>397</v>
      </c>
      <c r="G126" s="1" t="s">
        <v>53</v>
      </c>
      <c r="H126" s="1" t="s">
        <v>54</v>
      </c>
      <c r="I126" s="1" t="s">
        <v>676</v>
      </c>
      <c r="J126" s="2">
        <v>21</v>
      </c>
      <c r="K126" s="12">
        <v>3300</v>
      </c>
      <c r="L126" s="2">
        <v>2727.27</v>
      </c>
      <c r="M126" s="2">
        <v>0</v>
      </c>
      <c r="N126" s="12">
        <v>572.73</v>
      </c>
      <c r="O126" s="2">
        <v>0</v>
      </c>
      <c r="P126" s="2">
        <v>0</v>
      </c>
      <c r="Q126" s="2">
        <v>0</v>
      </c>
      <c r="R126" s="2">
        <v>0</v>
      </c>
      <c r="S126" s="8" t="s">
        <v>995</v>
      </c>
      <c r="T126" s="14" t="s">
        <v>328</v>
      </c>
      <c r="U126" s="10" t="s">
        <v>328</v>
      </c>
      <c r="V126" s="10" t="s">
        <v>328</v>
      </c>
      <c r="W126" s="1" t="s">
        <v>328</v>
      </c>
    </row>
    <row r="127" spans="1:23" x14ac:dyDescent="0.25">
      <c r="A127" s="1" t="s">
        <v>1055</v>
      </c>
      <c r="B127" s="1" t="s">
        <v>1056</v>
      </c>
      <c r="C127" s="1" t="s">
        <v>19</v>
      </c>
      <c r="D127" s="1">
        <v>30668473241</v>
      </c>
      <c r="E127" s="1" t="s">
        <v>20</v>
      </c>
      <c r="F127" s="1" t="s">
        <v>397</v>
      </c>
      <c r="G127" s="1" t="s">
        <v>53</v>
      </c>
      <c r="H127" s="1" t="s">
        <v>54</v>
      </c>
      <c r="I127" s="1" t="s">
        <v>1118</v>
      </c>
      <c r="J127" s="2">
        <v>21</v>
      </c>
      <c r="K127" s="12">
        <v>61827.72</v>
      </c>
      <c r="L127" s="2">
        <v>51097.29</v>
      </c>
      <c r="M127" s="2">
        <v>0</v>
      </c>
      <c r="N127" s="12">
        <v>10730.43</v>
      </c>
      <c r="O127" s="2">
        <v>0</v>
      </c>
      <c r="P127" s="2">
        <v>0</v>
      </c>
      <c r="Q127" s="2">
        <v>0</v>
      </c>
      <c r="R127" s="2">
        <v>0</v>
      </c>
      <c r="S127" s="8" t="s">
        <v>1229</v>
      </c>
      <c r="T127" s="14" t="s">
        <v>328</v>
      </c>
      <c r="U127" s="10" t="s">
        <v>328</v>
      </c>
      <c r="V127" s="10" t="s">
        <v>328</v>
      </c>
      <c r="W127" s="1" t="s">
        <v>328</v>
      </c>
    </row>
    <row r="128" spans="1:23" x14ac:dyDescent="0.25">
      <c r="A128" s="1" t="s">
        <v>1055</v>
      </c>
      <c r="B128" s="1" t="s">
        <v>1056</v>
      </c>
      <c r="C128" s="1" t="s">
        <v>19</v>
      </c>
      <c r="D128" s="1">
        <v>30668473241</v>
      </c>
      <c r="E128" s="1" t="s">
        <v>20</v>
      </c>
      <c r="F128" s="1" t="s">
        <v>397</v>
      </c>
      <c r="G128" s="1" t="s">
        <v>53</v>
      </c>
      <c r="H128" s="1" t="s">
        <v>54</v>
      </c>
      <c r="I128" s="1" t="s">
        <v>1118</v>
      </c>
      <c r="J128" s="2">
        <v>0</v>
      </c>
      <c r="K128" s="12">
        <v>8172.31</v>
      </c>
      <c r="L128" s="2">
        <v>0</v>
      </c>
      <c r="M128" s="2">
        <v>8172.31</v>
      </c>
      <c r="N128" s="12">
        <v>0</v>
      </c>
      <c r="O128" s="2">
        <v>0</v>
      </c>
      <c r="P128" s="2">
        <v>0</v>
      </c>
      <c r="Q128" s="2">
        <v>0</v>
      </c>
      <c r="R128" s="2">
        <v>0</v>
      </c>
      <c r="S128" s="8" t="s">
        <v>1229</v>
      </c>
      <c r="T128" s="14" t="s">
        <v>328</v>
      </c>
      <c r="U128" s="10" t="s">
        <v>328</v>
      </c>
      <c r="V128" s="10" t="s">
        <v>328</v>
      </c>
      <c r="W128" s="1" t="s">
        <v>328</v>
      </c>
    </row>
    <row r="129" spans="1:23" x14ac:dyDescent="0.25">
      <c r="A129" s="1" t="s">
        <v>97</v>
      </c>
      <c r="B129" s="1" t="s">
        <v>98</v>
      </c>
      <c r="C129" s="1" t="s">
        <v>19</v>
      </c>
      <c r="D129" s="1">
        <v>30545788167</v>
      </c>
      <c r="E129" s="1" t="s">
        <v>20</v>
      </c>
      <c r="F129" s="1" t="s">
        <v>403</v>
      </c>
      <c r="G129" s="1" t="s">
        <v>53</v>
      </c>
      <c r="H129" s="1" t="s">
        <v>54</v>
      </c>
      <c r="I129" s="1" t="s">
        <v>1121</v>
      </c>
      <c r="J129" s="2">
        <v>27</v>
      </c>
      <c r="K129" s="12">
        <v>244154.64</v>
      </c>
      <c r="L129" s="2">
        <v>187811.26</v>
      </c>
      <c r="M129" s="2">
        <v>0</v>
      </c>
      <c r="N129" s="12">
        <v>50709.04</v>
      </c>
      <c r="O129" s="2">
        <v>5634.34</v>
      </c>
      <c r="P129" s="2">
        <v>0</v>
      </c>
      <c r="Q129" s="2">
        <v>0</v>
      </c>
      <c r="R129" s="2">
        <v>0</v>
      </c>
      <c r="S129" s="8" t="s">
        <v>1230</v>
      </c>
      <c r="T129" s="14" t="s">
        <v>328</v>
      </c>
      <c r="U129" s="10" t="s">
        <v>328</v>
      </c>
      <c r="V129" s="10" t="s">
        <v>328</v>
      </c>
      <c r="W129" s="1" t="s">
        <v>328</v>
      </c>
    </row>
    <row r="130" spans="1:23" x14ac:dyDescent="0.25">
      <c r="A130" s="1" t="s">
        <v>97</v>
      </c>
      <c r="B130" s="1" t="s">
        <v>98</v>
      </c>
      <c r="C130" s="1" t="s">
        <v>19</v>
      </c>
      <c r="D130" s="1">
        <v>30545788167</v>
      </c>
      <c r="E130" s="1" t="s">
        <v>20</v>
      </c>
      <c r="F130" s="1" t="s">
        <v>403</v>
      </c>
      <c r="G130" s="1" t="s">
        <v>53</v>
      </c>
      <c r="H130" s="1" t="s">
        <v>54</v>
      </c>
      <c r="I130" s="1" t="s">
        <v>1121</v>
      </c>
      <c r="J130" s="2">
        <v>0</v>
      </c>
      <c r="K130" s="12">
        <v>14392.19</v>
      </c>
      <c r="L130" s="2">
        <v>0</v>
      </c>
      <c r="M130" s="2">
        <v>14392.19</v>
      </c>
      <c r="N130" s="12">
        <v>0</v>
      </c>
      <c r="O130" s="2">
        <v>0</v>
      </c>
      <c r="P130" s="2">
        <v>0</v>
      </c>
      <c r="Q130" s="2">
        <v>0</v>
      </c>
      <c r="R130" s="2">
        <v>0</v>
      </c>
      <c r="S130" s="8" t="s">
        <v>1230</v>
      </c>
      <c r="T130" s="14" t="s">
        <v>328</v>
      </c>
      <c r="U130" s="10" t="s">
        <v>328</v>
      </c>
      <c r="V130" s="10" t="s">
        <v>328</v>
      </c>
      <c r="W130" s="1" t="s">
        <v>328</v>
      </c>
    </row>
    <row r="131" spans="1:23" x14ac:dyDescent="0.25">
      <c r="A131" s="1" t="s">
        <v>97</v>
      </c>
      <c r="B131" s="1" t="s">
        <v>98</v>
      </c>
      <c r="C131" s="1" t="s">
        <v>19</v>
      </c>
      <c r="D131" s="1">
        <v>30545788167</v>
      </c>
      <c r="E131" s="1" t="s">
        <v>20</v>
      </c>
      <c r="F131" s="1" t="s">
        <v>403</v>
      </c>
      <c r="G131" s="1" t="s">
        <v>53</v>
      </c>
      <c r="H131" s="1" t="s">
        <v>54</v>
      </c>
      <c r="I131" s="1" t="s">
        <v>1122</v>
      </c>
      <c r="J131" s="2">
        <v>27</v>
      </c>
      <c r="K131" s="12">
        <v>282390.82</v>
      </c>
      <c r="L131" s="2">
        <v>217223.71</v>
      </c>
      <c r="M131" s="2">
        <v>0</v>
      </c>
      <c r="N131" s="12">
        <v>58650.400000000001</v>
      </c>
      <c r="O131" s="2">
        <v>6516.71</v>
      </c>
      <c r="P131" s="2">
        <v>0</v>
      </c>
      <c r="Q131" s="2">
        <v>0</v>
      </c>
      <c r="R131" s="2">
        <v>0</v>
      </c>
      <c r="S131" s="8" t="s">
        <v>1231</v>
      </c>
      <c r="T131" s="14" t="s">
        <v>328</v>
      </c>
      <c r="U131" s="10" t="s">
        <v>328</v>
      </c>
      <c r="V131" s="10" t="s">
        <v>328</v>
      </c>
      <c r="W131" s="1" t="s">
        <v>328</v>
      </c>
    </row>
    <row r="132" spans="1:23" x14ac:dyDescent="0.25">
      <c r="A132" s="1" t="s">
        <v>97</v>
      </c>
      <c r="B132" s="1" t="s">
        <v>98</v>
      </c>
      <c r="C132" s="1" t="s">
        <v>19</v>
      </c>
      <c r="D132" s="1">
        <v>30545788167</v>
      </c>
      <c r="E132" s="1" t="s">
        <v>20</v>
      </c>
      <c r="F132" s="1" t="s">
        <v>403</v>
      </c>
      <c r="G132" s="1" t="s">
        <v>53</v>
      </c>
      <c r="H132" s="1" t="s">
        <v>54</v>
      </c>
      <c r="I132" s="1" t="s">
        <v>1122</v>
      </c>
      <c r="J132" s="2">
        <v>0</v>
      </c>
      <c r="K132" s="12">
        <v>16598.12</v>
      </c>
      <c r="L132" s="2">
        <v>0</v>
      </c>
      <c r="M132" s="2">
        <v>16598.12</v>
      </c>
      <c r="N132" s="12">
        <v>0</v>
      </c>
      <c r="O132" s="2">
        <v>0</v>
      </c>
      <c r="P132" s="2">
        <v>0</v>
      </c>
      <c r="Q132" s="2">
        <v>0</v>
      </c>
      <c r="R132" s="2">
        <v>0</v>
      </c>
      <c r="S132" s="8" t="s">
        <v>1231</v>
      </c>
      <c r="T132" s="14" t="s">
        <v>328</v>
      </c>
      <c r="U132" s="10" t="s">
        <v>328</v>
      </c>
      <c r="V132" s="10" t="s">
        <v>328</v>
      </c>
      <c r="W132" s="1" t="s">
        <v>328</v>
      </c>
    </row>
    <row r="133" spans="1:23" x14ac:dyDescent="0.25">
      <c r="A133" s="1" t="s">
        <v>123</v>
      </c>
      <c r="B133" s="1" t="s">
        <v>124</v>
      </c>
      <c r="C133" s="1" t="s">
        <v>19</v>
      </c>
      <c r="D133" s="1">
        <v>30999027489</v>
      </c>
      <c r="E133" s="1" t="s">
        <v>20</v>
      </c>
      <c r="F133" s="1" t="s">
        <v>403</v>
      </c>
      <c r="G133" s="1" t="s">
        <v>53</v>
      </c>
      <c r="H133" s="1" t="s">
        <v>54</v>
      </c>
      <c r="I133" s="1" t="s">
        <v>689</v>
      </c>
      <c r="J133" s="2">
        <v>27</v>
      </c>
      <c r="K133" s="12">
        <v>219693.07</v>
      </c>
      <c r="L133" s="2">
        <v>168994.67</v>
      </c>
      <c r="M133" s="2">
        <v>0</v>
      </c>
      <c r="N133" s="12">
        <v>45628.56</v>
      </c>
      <c r="O133" s="2">
        <v>5069.84</v>
      </c>
      <c r="P133" s="2">
        <v>0</v>
      </c>
      <c r="Q133" s="2">
        <v>0</v>
      </c>
      <c r="R133" s="2">
        <v>0</v>
      </c>
      <c r="S133" s="8" t="s">
        <v>996</v>
      </c>
      <c r="T133" s="14" t="s">
        <v>328</v>
      </c>
      <c r="U133" s="10" t="s">
        <v>328</v>
      </c>
      <c r="V133" s="10" t="s">
        <v>328</v>
      </c>
      <c r="W133" s="1" t="s">
        <v>328</v>
      </c>
    </row>
    <row r="134" spans="1:23" x14ac:dyDescent="0.25">
      <c r="A134" s="1" t="s">
        <v>123</v>
      </c>
      <c r="B134" s="1" t="s">
        <v>124</v>
      </c>
      <c r="C134" s="1" t="s">
        <v>19</v>
      </c>
      <c r="D134" s="1">
        <v>30999027489</v>
      </c>
      <c r="E134" s="1" t="s">
        <v>20</v>
      </c>
      <c r="F134" s="1" t="s">
        <v>403</v>
      </c>
      <c r="G134" s="1" t="s">
        <v>53</v>
      </c>
      <c r="H134" s="1" t="s">
        <v>54</v>
      </c>
      <c r="I134" s="1" t="s">
        <v>689</v>
      </c>
      <c r="J134" s="2">
        <v>0</v>
      </c>
      <c r="K134" s="12">
        <v>34643.93</v>
      </c>
      <c r="L134" s="2">
        <v>0</v>
      </c>
      <c r="M134" s="2">
        <v>34643.93</v>
      </c>
      <c r="N134" s="12">
        <v>0</v>
      </c>
      <c r="O134" s="2">
        <v>0</v>
      </c>
      <c r="P134" s="2">
        <v>0</v>
      </c>
      <c r="Q134" s="2">
        <v>0</v>
      </c>
      <c r="R134" s="2">
        <v>0</v>
      </c>
      <c r="S134" s="8" t="s">
        <v>996</v>
      </c>
      <c r="T134" s="14" t="s">
        <v>328</v>
      </c>
      <c r="U134" s="10" t="s">
        <v>328</v>
      </c>
      <c r="V134" s="10" t="s">
        <v>328</v>
      </c>
      <c r="W134" s="1" t="s">
        <v>328</v>
      </c>
    </row>
    <row r="135" spans="1:23" x14ac:dyDescent="0.25">
      <c r="A135" s="1" t="s">
        <v>123</v>
      </c>
      <c r="B135" s="1" t="s">
        <v>124</v>
      </c>
      <c r="C135" s="1" t="s">
        <v>19</v>
      </c>
      <c r="D135" s="1">
        <v>30999027489</v>
      </c>
      <c r="E135" s="1" t="s">
        <v>20</v>
      </c>
      <c r="F135" s="1" t="s">
        <v>403</v>
      </c>
      <c r="G135" s="1" t="s">
        <v>53</v>
      </c>
      <c r="H135" s="1" t="s">
        <v>54</v>
      </c>
      <c r="I135" s="1" t="s">
        <v>690</v>
      </c>
      <c r="J135" s="2">
        <v>27</v>
      </c>
      <c r="K135" s="12">
        <v>214880.52</v>
      </c>
      <c r="L135" s="2">
        <v>165292.71</v>
      </c>
      <c r="M135" s="2">
        <v>0</v>
      </c>
      <c r="N135" s="12">
        <v>44629.03</v>
      </c>
      <c r="O135" s="2">
        <v>4958.78</v>
      </c>
      <c r="P135" s="2">
        <v>0</v>
      </c>
      <c r="Q135" s="2">
        <v>0</v>
      </c>
      <c r="R135" s="2">
        <v>0</v>
      </c>
      <c r="S135" s="8" t="s">
        <v>997</v>
      </c>
      <c r="T135" s="14" t="s">
        <v>328</v>
      </c>
      <c r="U135" s="10" t="s">
        <v>328</v>
      </c>
      <c r="V135" s="10" t="s">
        <v>328</v>
      </c>
      <c r="W135" s="1" t="s">
        <v>328</v>
      </c>
    </row>
    <row r="136" spans="1:23" x14ac:dyDescent="0.25">
      <c r="A136" s="1" t="s">
        <v>123</v>
      </c>
      <c r="B136" s="1" t="s">
        <v>124</v>
      </c>
      <c r="C136" s="1" t="s">
        <v>19</v>
      </c>
      <c r="D136" s="1">
        <v>30999027489</v>
      </c>
      <c r="E136" s="1" t="s">
        <v>20</v>
      </c>
      <c r="F136" s="1" t="s">
        <v>403</v>
      </c>
      <c r="G136" s="1" t="s">
        <v>53</v>
      </c>
      <c r="H136" s="1" t="s">
        <v>54</v>
      </c>
      <c r="I136" s="1" t="s">
        <v>690</v>
      </c>
      <c r="J136" s="2">
        <v>0</v>
      </c>
      <c r="K136" s="12">
        <v>33884.980000000003</v>
      </c>
      <c r="L136" s="2">
        <v>0</v>
      </c>
      <c r="M136" s="2">
        <v>33884.980000000003</v>
      </c>
      <c r="N136" s="12">
        <v>0</v>
      </c>
      <c r="O136" s="2">
        <v>0</v>
      </c>
      <c r="P136" s="2">
        <v>0</v>
      </c>
      <c r="Q136" s="2">
        <v>0</v>
      </c>
      <c r="R136" s="2">
        <v>0</v>
      </c>
      <c r="S136" s="8" t="s">
        <v>997</v>
      </c>
      <c r="T136" s="14" t="s">
        <v>328</v>
      </c>
      <c r="U136" s="10" t="s">
        <v>328</v>
      </c>
      <c r="V136" s="10" t="s">
        <v>328</v>
      </c>
      <c r="W136" s="1" t="s">
        <v>328</v>
      </c>
    </row>
    <row r="137" spans="1:23" x14ac:dyDescent="0.25">
      <c r="A137" s="1" t="s">
        <v>64</v>
      </c>
      <c r="B137" s="1" t="s">
        <v>65</v>
      </c>
      <c r="C137" s="1" t="s">
        <v>19</v>
      </c>
      <c r="D137" s="1">
        <v>30500008454</v>
      </c>
      <c r="E137" s="1" t="s">
        <v>20</v>
      </c>
      <c r="F137" s="1" t="s">
        <v>403</v>
      </c>
      <c r="G137" s="1" t="s">
        <v>53</v>
      </c>
      <c r="H137" s="1" t="s">
        <v>54</v>
      </c>
      <c r="I137" s="1" t="s">
        <v>696</v>
      </c>
      <c r="J137" s="2">
        <v>10.5</v>
      </c>
      <c r="K137" s="12">
        <v>3925621.31</v>
      </c>
      <c r="L137" s="2">
        <v>3552598.47</v>
      </c>
      <c r="M137" s="2">
        <v>0</v>
      </c>
      <c r="N137" s="12">
        <v>373022.84</v>
      </c>
      <c r="O137" s="2">
        <v>0</v>
      </c>
      <c r="P137" s="2">
        <v>0</v>
      </c>
      <c r="Q137" s="2">
        <v>0</v>
      </c>
      <c r="R137" s="2">
        <v>0</v>
      </c>
      <c r="S137" s="8" t="s">
        <v>998</v>
      </c>
      <c r="T137" s="14" t="s">
        <v>328</v>
      </c>
      <c r="U137" s="10" t="s">
        <v>328</v>
      </c>
      <c r="V137" s="10" t="s">
        <v>328</v>
      </c>
      <c r="W137" s="1" t="s">
        <v>328</v>
      </c>
    </row>
    <row r="138" spans="1:23" x14ac:dyDescent="0.25">
      <c r="A138" s="1" t="s">
        <v>64</v>
      </c>
      <c r="B138" s="1" t="s">
        <v>65</v>
      </c>
      <c r="C138" s="1" t="s">
        <v>19</v>
      </c>
      <c r="D138" s="1">
        <v>30500008454</v>
      </c>
      <c r="E138" s="1" t="s">
        <v>20</v>
      </c>
      <c r="F138" s="1" t="s">
        <v>403</v>
      </c>
      <c r="G138" s="1" t="s">
        <v>53</v>
      </c>
      <c r="H138" s="1" t="s">
        <v>54</v>
      </c>
      <c r="I138" s="1" t="s">
        <v>696</v>
      </c>
      <c r="J138" s="2">
        <v>0</v>
      </c>
      <c r="K138" s="12">
        <v>1196826.97</v>
      </c>
      <c r="L138" s="2">
        <v>0</v>
      </c>
      <c r="M138" s="2">
        <v>1196826.97</v>
      </c>
      <c r="N138" s="12">
        <v>0</v>
      </c>
      <c r="O138" s="2">
        <v>0</v>
      </c>
      <c r="P138" s="2">
        <v>0</v>
      </c>
      <c r="Q138" s="2">
        <v>0</v>
      </c>
      <c r="R138" s="2">
        <v>0</v>
      </c>
      <c r="S138" s="8" t="s">
        <v>998</v>
      </c>
      <c r="T138" s="14" t="s">
        <v>328</v>
      </c>
      <c r="U138" s="10" t="s">
        <v>328</v>
      </c>
      <c r="V138" s="10" t="s">
        <v>328</v>
      </c>
      <c r="W138" s="1" t="s">
        <v>328</v>
      </c>
    </row>
    <row r="139" spans="1:23" x14ac:dyDescent="0.25">
      <c r="A139" s="1" t="s">
        <v>705</v>
      </c>
      <c r="B139" s="1" t="s">
        <v>706</v>
      </c>
      <c r="C139" s="1" t="s">
        <v>19</v>
      </c>
      <c r="D139" s="1">
        <v>30711489734</v>
      </c>
      <c r="E139" s="1" t="s">
        <v>20</v>
      </c>
      <c r="F139" s="1" t="s">
        <v>412</v>
      </c>
      <c r="G139" s="1" t="s">
        <v>53</v>
      </c>
      <c r="H139" s="1" t="s">
        <v>54</v>
      </c>
      <c r="I139" s="1" t="s">
        <v>707</v>
      </c>
      <c r="J139" s="2">
        <v>0</v>
      </c>
      <c r="K139" s="12">
        <v>1869.06</v>
      </c>
      <c r="L139" s="2">
        <v>0</v>
      </c>
      <c r="M139" s="2">
        <v>1869.06</v>
      </c>
      <c r="N139" s="12">
        <v>0</v>
      </c>
      <c r="O139" s="2">
        <v>0</v>
      </c>
      <c r="P139" s="2">
        <v>0</v>
      </c>
      <c r="Q139" s="2">
        <v>0</v>
      </c>
      <c r="R139" s="2">
        <v>0</v>
      </c>
      <c r="S139" s="8" t="s">
        <v>999</v>
      </c>
      <c r="T139" s="14" t="s">
        <v>328</v>
      </c>
      <c r="U139" s="10" t="s">
        <v>328</v>
      </c>
      <c r="V139" s="10" t="s">
        <v>328</v>
      </c>
      <c r="W139" s="1" t="s">
        <v>328</v>
      </c>
    </row>
    <row r="140" spans="1:23" x14ac:dyDescent="0.25">
      <c r="A140" s="1" t="s">
        <v>99</v>
      </c>
      <c r="B140" s="1" t="s">
        <v>100</v>
      </c>
      <c r="C140" s="1" t="s">
        <v>19</v>
      </c>
      <c r="D140" s="1">
        <v>30707787364</v>
      </c>
      <c r="E140" s="1" t="s">
        <v>20</v>
      </c>
      <c r="F140" s="1" t="s">
        <v>412</v>
      </c>
      <c r="G140" s="1" t="s">
        <v>53</v>
      </c>
      <c r="H140" s="1" t="s">
        <v>54</v>
      </c>
      <c r="I140" s="1" t="s">
        <v>708</v>
      </c>
      <c r="J140" s="2">
        <v>21</v>
      </c>
      <c r="K140" s="12">
        <v>586215.03</v>
      </c>
      <c r="L140" s="2">
        <v>484475.23</v>
      </c>
      <c r="M140" s="2">
        <v>0</v>
      </c>
      <c r="N140" s="12">
        <v>101739.8</v>
      </c>
      <c r="O140" s="2">
        <v>0</v>
      </c>
      <c r="P140" s="2">
        <v>0</v>
      </c>
      <c r="Q140" s="2">
        <v>0</v>
      </c>
      <c r="R140" s="2">
        <v>0</v>
      </c>
      <c r="S140" s="8" t="s">
        <v>1000</v>
      </c>
      <c r="T140" s="14" t="s">
        <v>328</v>
      </c>
      <c r="U140" s="10" t="s">
        <v>328</v>
      </c>
      <c r="V140" s="10" t="s">
        <v>328</v>
      </c>
      <c r="W140" s="1" t="s">
        <v>328</v>
      </c>
    </row>
    <row r="141" spans="1:23" x14ac:dyDescent="0.25">
      <c r="A141" s="1" t="s">
        <v>99</v>
      </c>
      <c r="B141" s="1" t="s">
        <v>100</v>
      </c>
      <c r="C141" s="1" t="s">
        <v>19</v>
      </c>
      <c r="D141" s="1">
        <v>30707787364</v>
      </c>
      <c r="E141" s="1" t="s">
        <v>20</v>
      </c>
      <c r="F141" s="1" t="s">
        <v>412</v>
      </c>
      <c r="G141" s="1" t="s">
        <v>53</v>
      </c>
      <c r="H141" s="1" t="s">
        <v>54</v>
      </c>
      <c r="I141" s="1" t="s">
        <v>708</v>
      </c>
      <c r="J141" s="2">
        <v>0</v>
      </c>
      <c r="K141" s="12">
        <v>103917.29</v>
      </c>
      <c r="L141" s="2">
        <v>0</v>
      </c>
      <c r="M141" s="2">
        <v>103917.29</v>
      </c>
      <c r="N141" s="12">
        <v>0</v>
      </c>
      <c r="O141" s="2">
        <v>0</v>
      </c>
      <c r="P141" s="2">
        <v>0</v>
      </c>
      <c r="Q141" s="2">
        <v>0</v>
      </c>
      <c r="R141" s="2">
        <v>0</v>
      </c>
      <c r="S141" s="8" t="s">
        <v>1000</v>
      </c>
      <c r="T141" s="14" t="s">
        <v>328</v>
      </c>
      <c r="U141" s="10" t="s">
        <v>328</v>
      </c>
      <c r="V141" s="10" t="s">
        <v>328</v>
      </c>
      <c r="W141" s="1" t="s">
        <v>328</v>
      </c>
    </row>
    <row r="142" spans="1:23" x14ac:dyDescent="0.25">
      <c r="A142" s="1" t="s">
        <v>1129</v>
      </c>
      <c r="B142" s="1" t="s">
        <v>1130</v>
      </c>
      <c r="C142" s="1" t="s">
        <v>19</v>
      </c>
      <c r="D142" s="1">
        <v>33710012909</v>
      </c>
      <c r="E142" s="1" t="s">
        <v>20</v>
      </c>
      <c r="F142" s="1" t="s">
        <v>412</v>
      </c>
      <c r="G142" s="1" t="s">
        <v>53</v>
      </c>
      <c r="H142" s="1" t="s">
        <v>54</v>
      </c>
      <c r="I142" s="1" t="s">
        <v>1131</v>
      </c>
      <c r="J142" s="2">
        <v>21</v>
      </c>
      <c r="K142" s="12">
        <v>33672.870000000003</v>
      </c>
      <c r="L142" s="2">
        <v>27828.82</v>
      </c>
      <c r="M142" s="2">
        <v>0</v>
      </c>
      <c r="N142" s="12">
        <v>5844.05</v>
      </c>
      <c r="O142" s="2">
        <v>0</v>
      </c>
      <c r="P142" s="2">
        <v>0</v>
      </c>
      <c r="Q142" s="2">
        <v>0</v>
      </c>
      <c r="R142" s="2">
        <v>0</v>
      </c>
      <c r="S142" s="8" t="s">
        <v>1232</v>
      </c>
      <c r="T142" s="14" t="s">
        <v>328</v>
      </c>
      <c r="U142" s="10" t="s">
        <v>328</v>
      </c>
      <c r="V142" s="10" t="s">
        <v>328</v>
      </c>
      <c r="W142" s="1" t="s">
        <v>328</v>
      </c>
    </row>
    <row r="143" spans="1:23" x14ac:dyDescent="0.25">
      <c r="A143" s="1" t="s">
        <v>1129</v>
      </c>
      <c r="B143" s="1" t="s">
        <v>1130</v>
      </c>
      <c r="C143" s="1" t="s">
        <v>19</v>
      </c>
      <c r="D143" s="1">
        <v>33710012909</v>
      </c>
      <c r="E143" s="1" t="s">
        <v>20</v>
      </c>
      <c r="F143" s="1" t="s">
        <v>412</v>
      </c>
      <c r="G143" s="1" t="s">
        <v>53</v>
      </c>
      <c r="H143" s="1" t="s">
        <v>54</v>
      </c>
      <c r="I143" s="1" t="s">
        <v>1131</v>
      </c>
      <c r="J143" s="2">
        <v>0</v>
      </c>
      <c r="K143" s="12">
        <v>6330.2</v>
      </c>
      <c r="L143" s="2">
        <v>0</v>
      </c>
      <c r="M143" s="2">
        <v>6330.2</v>
      </c>
      <c r="N143" s="12">
        <v>0</v>
      </c>
      <c r="O143" s="2">
        <v>0</v>
      </c>
      <c r="P143" s="2">
        <v>0</v>
      </c>
      <c r="Q143" s="2">
        <v>0</v>
      </c>
      <c r="R143" s="2">
        <v>0</v>
      </c>
      <c r="S143" s="8" t="s">
        <v>1232</v>
      </c>
      <c r="T143" s="14" t="s">
        <v>328</v>
      </c>
      <c r="U143" s="10" t="s">
        <v>328</v>
      </c>
      <c r="V143" s="10" t="s">
        <v>328</v>
      </c>
      <c r="W143" s="1" t="s">
        <v>328</v>
      </c>
    </row>
    <row r="144" spans="1:23" x14ac:dyDescent="0.25">
      <c r="A144" s="1" t="s">
        <v>1132</v>
      </c>
      <c r="B144" s="1" t="s">
        <v>1133</v>
      </c>
      <c r="C144" s="1" t="s">
        <v>19</v>
      </c>
      <c r="D144" s="1">
        <v>30581275710</v>
      </c>
      <c r="E144" s="1" t="s">
        <v>20</v>
      </c>
      <c r="F144" s="1" t="s">
        <v>412</v>
      </c>
      <c r="G144" s="1" t="s">
        <v>53</v>
      </c>
      <c r="H144" s="1" t="s">
        <v>54</v>
      </c>
      <c r="I144" s="1" t="s">
        <v>1134</v>
      </c>
      <c r="J144" s="2">
        <v>21</v>
      </c>
      <c r="K144" s="12">
        <v>33257.839999999997</v>
      </c>
      <c r="L144" s="2">
        <v>27485.82</v>
      </c>
      <c r="M144" s="2">
        <v>0</v>
      </c>
      <c r="N144" s="12">
        <v>5772.02</v>
      </c>
      <c r="O144" s="2">
        <v>0</v>
      </c>
      <c r="P144" s="2">
        <v>0</v>
      </c>
      <c r="Q144" s="2">
        <v>0</v>
      </c>
      <c r="R144" s="2">
        <v>0</v>
      </c>
      <c r="S144" s="8" t="s">
        <v>1233</v>
      </c>
      <c r="T144" s="14" t="s">
        <v>328</v>
      </c>
      <c r="U144" s="10" t="s">
        <v>328</v>
      </c>
      <c r="V144" s="10" t="s">
        <v>328</v>
      </c>
      <c r="W144" s="1" t="s">
        <v>328</v>
      </c>
    </row>
    <row r="145" spans="1:23" x14ac:dyDescent="0.25">
      <c r="A145" s="1" t="s">
        <v>1132</v>
      </c>
      <c r="B145" s="1" t="s">
        <v>1133</v>
      </c>
      <c r="C145" s="1" t="s">
        <v>19</v>
      </c>
      <c r="D145" s="1">
        <v>30581275710</v>
      </c>
      <c r="E145" s="1" t="s">
        <v>20</v>
      </c>
      <c r="F145" s="1" t="s">
        <v>412</v>
      </c>
      <c r="G145" s="1" t="s">
        <v>53</v>
      </c>
      <c r="H145" s="1" t="s">
        <v>54</v>
      </c>
      <c r="I145" s="1" t="s">
        <v>1134</v>
      </c>
      <c r="J145" s="2">
        <v>0</v>
      </c>
      <c r="K145" s="12">
        <v>6755.1</v>
      </c>
      <c r="L145" s="2">
        <v>0</v>
      </c>
      <c r="M145" s="2">
        <v>6755.1</v>
      </c>
      <c r="N145" s="12">
        <v>0</v>
      </c>
      <c r="O145" s="2">
        <v>0</v>
      </c>
      <c r="P145" s="2">
        <v>0</v>
      </c>
      <c r="Q145" s="2">
        <v>0</v>
      </c>
      <c r="R145" s="2">
        <v>0</v>
      </c>
      <c r="S145" s="8" t="s">
        <v>1233</v>
      </c>
      <c r="T145" s="14" t="s">
        <v>328</v>
      </c>
      <c r="U145" s="10" t="s">
        <v>328</v>
      </c>
      <c r="V145" s="10" t="s">
        <v>328</v>
      </c>
      <c r="W145" s="1" t="s">
        <v>328</v>
      </c>
    </row>
    <row r="146" spans="1:23" x14ac:dyDescent="0.25">
      <c r="A146" s="1" t="s">
        <v>1147</v>
      </c>
      <c r="B146" s="1" t="s">
        <v>1148</v>
      </c>
      <c r="C146" s="1" t="s">
        <v>19</v>
      </c>
      <c r="D146" s="1">
        <v>30710951949</v>
      </c>
      <c r="E146" s="1" t="s">
        <v>20</v>
      </c>
      <c r="F146" s="1" t="s">
        <v>414</v>
      </c>
      <c r="G146" s="1" t="s">
        <v>53</v>
      </c>
      <c r="H146" s="1" t="s">
        <v>54</v>
      </c>
      <c r="I146" s="1" t="s">
        <v>1149</v>
      </c>
      <c r="J146" s="2">
        <v>21</v>
      </c>
      <c r="K146" s="12">
        <v>18959.77</v>
      </c>
      <c r="L146" s="2">
        <v>15669.23</v>
      </c>
      <c r="M146" s="2">
        <v>0</v>
      </c>
      <c r="N146" s="12">
        <v>3290.54</v>
      </c>
      <c r="O146" s="2">
        <v>0</v>
      </c>
      <c r="P146" s="2">
        <v>0</v>
      </c>
      <c r="Q146" s="2">
        <v>0</v>
      </c>
      <c r="R146" s="2">
        <v>0</v>
      </c>
      <c r="S146" s="8" t="s">
        <v>1234</v>
      </c>
      <c r="T146" s="14" t="s">
        <v>328</v>
      </c>
      <c r="U146" s="10" t="s">
        <v>328</v>
      </c>
      <c r="V146" s="10" t="s">
        <v>328</v>
      </c>
      <c r="W146" s="1" t="s">
        <v>328</v>
      </c>
    </row>
    <row r="147" spans="1:23" x14ac:dyDescent="0.25">
      <c r="A147" s="1" t="s">
        <v>1147</v>
      </c>
      <c r="B147" s="1" t="s">
        <v>1148</v>
      </c>
      <c r="C147" s="1" t="s">
        <v>19</v>
      </c>
      <c r="D147" s="1">
        <v>30710951949</v>
      </c>
      <c r="E147" s="1" t="s">
        <v>20</v>
      </c>
      <c r="F147" s="1" t="s">
        <v>414</v>
      </c>
      <c r="G147" s="1" t="s">
        <v>53</v>
      </c>
      <c r="H147" s="1" t="s">
        <v>54</v>
      </c>
      <c r="I147" s="1" t="s">
        <v>1149</v>
      </c>
      <c r="J147" s="2">
        <v>0</v>
      </c>
      <c r="K147" s="12">
        <v>40.229999999999997</v>
      </c>
      <c r="L147" s="2">
        <v>0</v>
      </c>
      <c r="M147" s="2">
        <v>40.229999999999997</v>
      </c>
      <c r="N147" s="12">
        <v>0</v>
      </c>
      <c r="O147" s="2">
        <v>0</v>
      </c>
      <c r="P147" s="2">
        <v>0</v>
      </c>
      <c r="Q147" s="2">
        <v>0</v>
      </c>
      <c r="R147" s="2">
        <v>0</v>
      </c>
      <c r="S147" s="8" t="s">
        <v>1234</v>
      </c>
      <c r="T147" s="14" t="s">
        <v>328</v>
      </c>
      <c r="U147" s="10" t="s">
        <v>328</v>
      </c>
      <c r="V147" s="10" t="s">
        <v>328</v>
      </c>
      <c r="W147" s="1" t="s">
        <v>328</v>
      </c>
    </row>
    <row r="148" spans="1:23" x14ac:dyDescent="0.25">
      <c r="A148" s="1" t="s">
        <v>1150</v>
      </c>
      <c r="B148" s="1" t="s">
        <v>1151</v>
      </c>
      <c r="C148" s="1" t="s">
        <v>19</v>
      </c>
      <c r="D148" s="1">
        <v>30711908818</v>
      </c>
      <c r="E148" s="1" t="s">
        <v>20</v>
      </c>
      <c r="F148" s="1" t="s">
        <v>414</v>
      </c>
      <c r="G148" s="1" t="s">
        <v>53</v>
      </c>
      <c r="H148" s="1" t="s">
        <v>54</v>
      </c>
      <c r="I148" s="1" t="s">
        <v>1152</v>
      </c>
      <c r="J148" s="2">
        <v>21</v>
      </c>
      <c r="K148" s="12">
        <v>33883.129999999997</v>
      </c>
      <c r="L148" s="2">
        <v>28002.59</v>
      </c>
      <c r="M148" s="2">
        <v>0</v>
      </c>
      <c r="N148" s="12">
        <v>5880.54</v>
      </c>
      <c r="O148" s="2">
        <v>0</v>
      </c>
      <c r="P148" s="2">
        <v>0</v>
      </c>
      <c r="Q148" s="2">
        <v>0</v>
      </c>
      <c r="R148" s="2">
        <v>0</v>
      </c>
      <c r="S148" s="8" t="s">
        <v>1235</v>
      </c>
      <c r="T148" s="14" t="s">
        <v>328</v>
      </c>
      <c r="U148" s="10" t="s">
        <v>328</v>
      </c>
      <c r="V148" s="10" t="s">
        <v>328</v>
      </c>
      <c r="W148" s="1" t="s">
        <v>328</v>
      </c>
    </row>
    <row r="149" spans="1:23" x14ac:dyDescent="0.25">
      <c r="A149" s="1" t="s">
        <v>1150</v>
      </c>
      <c r="B149" s="1" t="s">
        <v>1151</v>
      </c>
      <c r="C149" s="1" t="s">
        <v>19</v>
      </c>
      <c r="D149" s="1">
        <v>30711908818</v>
      </c>
      <c r="E149" s="1" t="s">
        <v>20</v>
      </c>
      <c r="F149" s="1" t="s">
        <v>414</v>
      </c>
      <c r="G149" s="1" t="s">
        <v>53</v>
      </c>
      <c r="H149" s="1" t="s">
        <v>54</v>
      </c>
      <c r="I149" s="1" t="s">
        <v>1152</v>
      </c>
      <c r="J149" s="2">
        <v>0</v>
      </c>
      <c r="K149" s="12">
        <v>6130.55</v>
      </c>
      <c r="L149" s="2">
        <v>0</v>
      </c>
      <c r="M149" s="2">
        <v>6130.55</v>
      </c>
      <c r="N149" s="12">
        <v>0</v>
      </c>
      <c r="O149" s="2">
        <v>0</v>
      </c>
      <c r="P149" s="2">
        <v>0</v>
      </c>
      <c r="Q149" s="2">
        <v>0</v>
      </c>
      <c r="R149" s="2">
        <v>0</v>
      </c>
      <c r="S149" s="8" t="s">
        <v>1235</v>
      </c>
      <c r="T149" s="14" t="s">
        <v>328</v>
      </c>
      <c r="U149" s="10" t="s">
        <v>328</v>
      </c>
      <c r="V149" s="10" t="s">
        <v>328</v>
      </c>
      <c r="W149" s="1" t="s">
        <v>328</v>
      </c>
    </row>
    <row r="150" spans="1:23" x14ac:dyDescent="0.25">
      <c r="A150" s="1" t="s">
        <v>1153</v>
      </c>
      <c r="B150" s="1" t="s">
        <v>1154</v>
      </c>
      <c r="C150" s="1" t="s">
        <v>19</v>
      </c>
      <c r="D150" s="1">
        <v>20129015277</v>
      </c>
      <c r="E150" s="1" t="s">
        <v>20</v>
      </c>
      <c r="F150" s="1" t="s">
        <v>414</v>
      </c>
      <c r="G150" s="1" t="s">
        <v>53</v>
      </c>
      <c r="H150" s="1" t="s">
        <v>54</v>
      </c>
      <c r="I150" s="1" t="s">
        <v>1155</v>
      </c>
      <c r="J150" s="2">
        <v>21</v>
      </c>
      <c r="K150" s="12">
        <v>9100</v>
      </c>
      <c r="L150" s="2">
        <v>7520.66</v>
      </c>
      <c r="M150" s="2">
        <v>0</v>
      </c>
      <c r="N150" s="12">
        <v>1579.34</v>
      </c>
      <c r="O150" s="2">
        <v>0</v>
      </c>
      <c r="P150" s="2">
        <v>0</v>
      </c>
      <c r="Q150" s="2">
        <v>0</v>
      </c>
      <c r="R150" s="2">
        <v>0</v>
      </c>
      <c r="S150" s="8" t="s">
        <v>1236</v>
      </c>
      <c r="T150" s="14" t="s">
        <v>328</v>
      </c>
      <c r="U150" s="10" t="s">
        <v>328</v>
      </c>
      <c r="V150" s="10" t="s">
        <v>328</v>
      </c>
      <c r="W150" s="1" t="s">
        <v>328</v>
      </c>
    </row>
    <row r="151" spans="1:23" x14ac:dyDescent="0.25">
      <c r="A151" s="1" t="s">
        <v>1084</v>
      </c>
      <c r="B151" s="1" t="s">
        <v>1085</v>
      </c>
      <c r="C151" s="1" t="s">
        <v>19</v>
      </c>
      <c r="D151" s="1">
        <v>30690887661</v>
      </c>
      <c r="E151" s="1" t="s">
        <v>20</v>
      </c>
      <c r="F151" s="1" t="s">
        <v>414</v>
      </c>
      <c r="G151" s="1" t="s">
        <v>53</v>
      </c>
      <c r="H151" s="1" t="s">
        <v>54</v>
      </c>
      <c r="I151" s="1" t="s">
        <v>1157</v>
      </c>
      <c r="J151" s="2">
        <v>21</v>
      </c>
      <c r="K151" s="12">
        <v>12299.25</v>
      </c>
      <c r="L151" s="2">
        <v>10164.67</v>
      </c>
      <c r="M151" s="2">
        <v>0</v>
      </c>
      <c r="N151" s="12">
        <v>2134.58</v>
      </c>
      <c r="O151" s="2">
        <v>0</v>
      </c>
      <c r="P151" s="2">
        <v>0</v>
      </c>
      <c r="Q151" s="2">
        <v>0</v>
      </c>
      <c r="R151" s="2">
        <v>0</v>
      </c>
      <c r="S151" s="8" t="s">
        <v>1237</v>
      </c>
      <c r="T151" s="14" t="s">
        <v>328</v>
      </c>
      <c r="U151" s="10" t="s">
        <v>328</v>
      </c>
      <c r="V151" s="10" t="s">
        <v>328</v>
      </c>
      <c r="W151" s="1" t="s">
        <v>328</v>
      </c>
    </row>
    <row r="152" spans="1:23" x14ac:dyDescent="0.25">
      <c r="A152" s="1" t="s">
        <v>1084</v>
      </c>
      <c r="B152" s="1" t="s">
        <v>1085</v>
      </c>
      <c r="C152" s="1" t="s">
        <v>19</v>
      </c>
      <c r="D152" s="1">
        <v>30690887661</v>
      </c>
      <c r="E152" s="1" t="s">
        <v>20</v>
      </c>
      <c r="F152" s="1" t="s">
        <v>414</v>
      </c>
      <c r="G152" s="1" t="s">
        <v>53</v>
      </c>
      <c r="H152" s="1" t="s">
        <v>54</v>
      </c>
      <c r="I152" s="1" t="s">
        <v>1157</v>
      </c>
      <c r="J152" s="2">
        <v>0</v>
      </c>
      <c r="K152" s="12">
        <v>0.76</v>
      </c>
      <c r="L152" s="2">
        <v>0</v>
      </c>
      <c r="M152" s="2">
        <v>0.76</v>
      </c>
      <c r="N152" s="12">
        <v>0</v>
      </c>
      <c r="O152" s="2">
        <v>0</v>
      </c>
      <c r="P152" s="2">
        <v>0</v>
      </c>
      <c r="Q152" s="2">
        <v>0</v>
      </c>
      <c r="R152" s="2">
        <v>0</v>
      </c>
      <c r="S152" s="8" t="s">
        <v>1237</v>
      </c>
      <c r="T152" s="14" t="s">
        <v>328</v>
      </c>
      <c r="U152" s="10" t="s">
        <v>328</v>
      </c>
      <c r="V152" s="10" t="s">
        <v>328</v>
      </c>
      <c r="W152" s="1" t="s">
        <v>328</v>
      </c>
    </row>
    <row r="153" spans="1:23" x14ac:dyDescent="0.25">
      <c r="A153" s="1" t="s">
        <v>1158</v>
      </c>
      <c r="B153" s="1" t="s">
        <v>1159</v>
      </c>
      <c r="C153" s="1" t="s">
        <v>19</v>
      </c>
      <c r="D153" s="1">
        <v>30627062490</v>
      </c>
      <c r="E153" s="1" t="s">
        <v>20</v>
      </c>
      <c r="F153" s="1" t="s">
        <v>414</v>
      </c>
      <c r="G153" s="1" t="s">
        <v>53</v>
      </c>
      <c r="H153" s="1" t="s">
        <v>54</v>
      </c>
      <c r="I153" s="1" t="s">
        <v>1160</v>
      </c>
      <c r="J153" s="2">
        <v>21</v>
      </c>
      <c r="K153" s="12">
        <v>44361.4</v>
      </c>
      <c r="L153" s="2">
        <v>36662.31</v>
      </c>
      <c r="M153" s="2">
        <v>0</v>
      </c>
      <c r="N153" s="12">
        <v>7699.09</v>
      </c>
      <c r="O153" s="2">
        <v>0</v>
      </c>
      <c r="P153" s="2">
        <v>0</v>
      </c>
      <c r="Q153" s="2">
        <v>0</v>
      </c>
      <c r="R153" s="2">
        <v>0</v>
      </c>
      <c r="S153" s="8" t="s">
        <v>1238</v>
      </c>
      <c r="T153" s="14" t="s">
        <v>328</v>
      </c>
      <c r="U153" s="10" t="s">
        <v>328</v>
      </c>
      <c r="V153" s="10" t="s">
        <v>328</v>
      </c>
      <c r="W153" s="1" t="s">
        <v>328</v>
      </c>
    </row>
    <row r="154" spans="1:23" x14ac:dyDescent="0.25">
      <c r="A154" s="1" t="s">
        <v>1158</v>
      </c>
      <c r="B154" s="1" t="s">
        <v>1159</v>
      </c>
      <c r="C154" s="1" t="s">
        <v>19</v>
      </c>
      <c r="D154" s="1">
        <v>30627062490</v>
      </c>
      <c r="E154" s="1" t="s">
        <v>20</v>
      </c>
      <c r="F154" s="1" t="s">
        <v>414</v>
      </c>
      <c r="G154" s="1" t="s">
        <v>53</v>
      </c>
      <c r="H154" s="1" t="s">
        <v>54</v>
      </c>
      <c r="I154" s="1" t="s">
        <v>1160</v>
      </c>
      <c r="J154" s="2">
        <v>0</v>
      </c>
      <c r="K154" s="12">
        <v>5638.54</v>
      </c>
      <c r="L154" s="2">
        <v>0</v>
      </c>
      <c r="M154" s="2">
        <v>5638.54</v>
      </c>
      <c r="N154" s="12">
        <v>0</v>
      </c>
      <c r="O154" s="2">
        <v>0</v>
      </c>
      <c r="P154" s="2">
        <v>0</v>
      </c>
      <c r="Q154" s="2">
        <v>0</v>
      </c>
      <c r="R154" s="2">
        <v>0</v>
      </c>
      <c r="S154" s="8" t="s">
        <v>1238</v>
      </c>
      <c r="T154" s="14" t="s">
        <v>328</v>
      </c>
      <c r="U154" s="10" t="s">
        <v>328</v>
      </c>
      <c r="V154" s="10" t="s">
        <v>328</v>
      </c>
      <c r="W154" s="1" t="s">
        <v>328</v>
      </c>
    </row>
    <row r="155" spans="1:23" x14ac:dyDescent="0.25">
      <c r="A155" s="1" t="s">
        <v>651</v>
      </c>
      <c r="B155" s="1" t="s">
        <v>652</v>
      </c>
      <c r="C155" s="1" t="s">
        <v>19</v>
      </c>
      <c r="D155" s="1">
        <v>27139111589</v>
      </c>
      <c r="E155" s="1" t="s">
        <v>20</v>
      </c>
      <c r="F155" s="1" t="s">
        <v>417</v>
      </c>
      <c r="G155" s="1" t="s">
        <v>53</v>
      </c>
      <c r="H155" s="1" t="s">
        <v>54</v>
      </c>
      <c r="I155" s="1" t="s">
        <v>737</v>
      </c>
      <c r="J155" s="2">
        <v>21</v>
      </c>
      <c r="K155" s="12">
        <v>600</v>
      </c>
      <c r="L155" s="2">
        <v>495.87</v>
      </c>
      <c r="M155" s="2">
        <v>0</v>
      </c>
      <c r="N155" s="12">
        <v>104.13</v>
      </c>
      <c r="O155" s="2">
        <v>0</v>
      </c>
      <c r="P155" s="2">
        <v>0</v>
      </c>
      <c r="Q155" s="2">
        <v>0</v>
      </c>
      <c r="R155" s="2">
        <v>0</v>
      </c>
      <c r="S155" s="8" t="s">
        <v>1001</v>
      </c>
      <c r="T155" s="14" t="s">
        <v>328</v>
      </c>
      <c r="U155" s="10" t="s">
        <v>328</v>
      </c>
      <c r="V155" s="10" t="s">
        <v>328</v>
      </c>
      <c r="W155" s="1" t="s">
        <v>328</v>
      </c>
    </row>
    <row r="156" spans="1:23" x14ac:dyDescent="0.25">
      <c r="A156" s="1" t="s">
        <v>125</v>
      </c>
      <c r="B156" s="1" t="s">
        <v>126</v>
      </c>
      <c r="C156" s="1" t="s">
        <v>19</v>
      </c>
      <c r="D156" s="1">
        <v>30545692763</v>
      </c>
      <c r="E156" s="1" t="s">
        <v>20</v>
      </c>
      <c r="F156" s="1" t="s">
        <v>417</v>
      </c>
      <c r="G156" s="1" t="s">
        <v>53</v>
      </c>
      <c r="H156" s="1" t="s">
        <v>54</v>
      </c>
      <c r="I156" s="1" t="s">
        <v>1163</v>
      </c>
      <c r="J156" s="2">
        <v>27</v>
      </c>
      <c r="K156" s="12">
        <v>56020</v>
      </c>
      <c r="L156" s="2">
        <v>44110.239999999998</v>
      </c>
      <c r="M156" s="2">
        <v>0</v>
      </c>
      <c r="N156" s="12">
        <v>11909.76</v>
      </c>
      <c r="O156" s="2">
        <v>0</v>
      </c>
      <c r="P156" s="2">
        <v>0</v>
      </c>
      <c r="Q156" s="2">
        <v>0</v>
      </c>
      <c r="R156" s="2">
        <v>0</v>
      </c>
      <c r="S156" s="8" t="s">
        <v>1239</v>
      </c>
      <c r="T156" s="14" t="s">
        <v>328</v>
      </c>
      <c r="U156" s="10" t="s">
        <v>328</v>
      </c>
      <c r="V156" s="10" t="s">
        <v>328</v>
      </c>
      <c r="W156" s="1" t="s">
        <v>328</v>
      </c>
    </row>
    <row r="157" spans="1:23" x14ac:dyDescent="0.25">
      <c r="A157" s="1" t="s">
        <v>125</v>
      </c>
      <c r="B157" s="1" t="s">
        <v>126</v>
      </c>
      <c r="C157" s="1" t="s">
        <v>19</v>
      </c>
      <c r="D157" s="1">
        <v>30545692763</v>
      </c>
      <c r="E157" s="1" t="s">
        <v>20</v>
      </c>
      <c r="F157" s="1" t="s">
        <v>417</v>
      </c>
      <c r="G157" s="1" t="s">
        <v>53</v>
      </c>
      <c r="H157" s="1" t="s">
        <v>54</v>
      </c>
      <c r="I157" s="1" t="s">
        <v>1163</v>
      </c>
      <c r="J157" s="2">
        <v>0</v>
      </c>
      <c r="K157" s="12">
        <v>9042.59</v>
      </c>
      <c r="L157" s="2">
        <v>0</v>
      </c>
      <c r="M157" s="2">
        <v>9042.59</v>
      </c>
      <c r="N157" s="12">
        <v>0</v>
      </c>
      <c r="O157" s="2">
        <v>0</v>
      </c>
      <c r="P157" s="2">
        <v>0</v>
      </c>
      <c r="Q157" s="2">
        <v>0</v>
      </c>
      <c r="R157" s="2">
        <v>0</v>
      </c>
      <c r="S157" s="8" t="s">
        <v>1239</v>
      </c>
      <c r="T157" s="14" t="s">
        <v>328</v>
      </c>
      <c r="U157" s="10" t="s">
        <v>328</v>
      </c>
      <c r="V157" s="10" t="s">
        <v>328</v>
      </c>
      <c r="W157" s="1" t="s">
        <v>328</v>
      </c>
    </row>
    <row r="158" spans="1:23" x14ac:dyDescent="0.25">
      <c r="A158" s="1" t="s">
        <v>125</v>
      </c>
      <c r="B158" s="1" t="s">
        <v>126</v>
      </c>
      <c r="C158" s="1" t="s">
        <v>19</v>
      </c>
      <c r="D158" s="1">
        <v>30545692763</v>
      </c>
      <c r="E158" s="1" t="s">
        <v>20</v>
      </c>
      <c r="F158" s="1" t="s">
        <v>417</v>
      </c>
      <c r="G158" s="1" t="s">
        <v>53</v>
      </c>
      <c r="H158" s="1" t="s">
        <v>54</v>
      </c>
      <c r="I158" s="1" t="s">
        <v>1164</v>
      </c>
      <c r="J158" s="2">
        <v>27</v>
      </c>
      <c r="K158" s="12">
        <v>17927.36</v>
      </c>
      <c r="L158" s="2">
        <v>14116.03</v>
      </c>
      <c r="M158" s="2">
        <v>0</v>
      </c>
      <c r="N158" s="12">
        <v>3811.33</v>
      </c>
      <c r="O158" s="2">
        <v>0</v>
      </c>
      <c r="P158" s="2">
        <v>0</v>
      </c>
      <c r="Q158" s="2">
        <v>0</v>
      </c>
      <c r="R158" s="2">
        <v>0</v>
      </c>
      <c r="S158" s="8" t="s">
        <v>1240</v>
      </c>
      <c r="T158" s="14" t="s">
        <v>328</v>
      </c>
      <c r="U158" s="10" t="s">
        <v>328</v>
      </c>
      <c r="V158" s="10" t="s">
        <v>328</v>
      </c>
      <c r="W158" s="1" t="s">
        <v>328</v>
      </c>
    </row>
    <row r="159" spans="1:23" x14ac:dyDescent="0.25">
      <c r="A159" s="1" t="s">
        <v>125</v>
      </c>
      <c r="B159" s="1" t="s">
        <v>126</v>
      </c>
      <c r="C159" s="1" t="s">
        <v>19</v>
      </c>
      <c r="D159" s="1">
        <v>30545692763</v>
      </c>
      <c r="E159" s="1" t="s">
        <v>20</v>
      </c>
      <c r="F159" s="1" t="s">
        <v>417</v>
      </c>
      <c r="G159" s="1" t="s">
        <v>53</v>
      </c>
      <c r="H159" s="1" t="s">
        <v>54</v>
      </c>
      <c r="I159" s="1" t="s">
        <v>1164</v>
      </c>
      <c r="J159" s="2">
        <v>0</v>
      </c>
      <c r="K159" s="12">
        <v>352.9</v>
      </c>
      <c r="L159" s="2">
        <v>0</v>
      </c>
      <c r="M159" s="2">
        <v>352.9</v>
      </c>
      <c r="N159" s="12">
        <v>0</v>
      </c>
      <c r="O159" s="2">
        <v>0</v>
      </c>
      <c r="P159" s="2">
        <v>0</v>
      </c>
      <c r="Q159" s="2">
        <v>0</v>
      </c>
      <c r="R159" s="2">
        <v>0</v>
      </c>
      <c r="S159" s="8" t="s">
        <v>1240</v>
      </c>
      <c r="T159" s="14" t="s">
        <v>328</v>
      </c>
      <c r="U159" s="10" t="s">
        <v>328</v>
      </c>
      <c r="V159" s="10" t="s">
        <v>328</v>
      </c>
      <c r="W159" s="1" t="s">
        <v>328</v>
      </c>
    </row>
    <row r="160" spans="1:23" x14ac:dyDescent="0.25">
      <c r="A160" s="1" t="s">
        <v>1167</v>
      </c>
      <c r="B160" s="1" t="s">
        <v>1168</v>
      </c>
      <c r="C160" s="1" t="s">
        <v>19</v>
      </c>
      <c r="D160" s="1">
        <v>30668314313</v>
      </c>
      <c r="E160" s="1" t="s">
        <v>20</v>
      </c>
      <c r="F160" s="1" t="s">
        <v>417</v>
      </c>
      <c r="G160" s="1" t="s">
        <v>53</v>
      </c>
      <c r="H160" s="1" t="s">
        <v>54</v>
      </c>
      <c r="I160" s="1" t="s">
        <v>1169</v>
      </c>
      <c r="J160" s="2">
        <v>21</v>
      </c>
      <c r="K160" s="12">
        <v>42188.67</v>
      </c>
      <c r="L160" s="2">
        <v>34866.67</v>
      </c>
      <c r="M160" s="2">
        <v>0</v>
      </c>
      <c r="N160" s="12">
        <v>7322</v>
      </c>
      <c r="O160" s="2">
        <v>0</v>
      </c>
      <c r="P160" s="2">
        <v>0</v>
      </c>
      <c r="Q160" s="2">
        <v>0</v>
      </c>
      <c r="R160" s="2">
        <v>0</v>
      </c>
      <c r="S160" s="8" t="s">
        <v>1241</v>
      </c>
      <c r="T160" s="14" t="s">
        <v>328</v>
      </c>
      <c r="U160" s="10" t="s">
        <v>328</v>
      </c>
      <c r="V160" s="10" t="s">
        <v>328</v>
      </c>
      <c r="W160" s="1" t="s">
        <v>328</v>
      </c>
    </row>
    <row r="161" spans="1:23" x14ac:dyDescent="0.25">
      <c r="A161" s="1" t="s">
        <v>1167</v>
      </c>
      <c r="B161" s="1" t="s">
        <v>1168</v>
      </c>
      <c r="C161" s="1" t="s">
        <v>19</v>
      </c>
      <c r="D161" s="1">
        <v>30668314313</v>
      </c>
      <c r="E161" s="1" t="s">
        <v>20</v>
      </c>
      <c r="F161" s="1" t="s">
        <v>417</v>
      </c>
      <c r="G161" s="1" t="s">
        <v>53</v>
      </c>
      <c r="H161" s="1" t="s">
        <v>54</v>
      </c>
      <c r="I161" s="1" t="s">
        <v>1169</v>
      </c>
      <c r="J161" s="2">
        <v>0</v>
      </c>
      <c r="K161" s="12">
        <v>7812.18</v>
      </c>
      <c r="L161" s="2">
        <v>0</v>
      </c>
      <c r="M161" s="2">
        <v>7812.18</v>
      </c>
      <c r="N161" s="12">
        <v>0</v>
      </c>
      <c r="O161" s="2">
        <v>0</v>
      </c>
      <c r="P161" s="2">
        <v>0</v>
      </c>
      <c r="Q161" s="2">
        <v>0</v>
      </c>
      <c r="R161" s="2">
        <v>0</v>
      </c>
      <c r="S161" s="8" t="s">
        <v>1241</v>
      </c>
      <c r="T161" s="14" t="s">
        <v>328</v>
      </c>
      <c r="U161" s="10" t="s">
        <v>328</v>
      </c>
      <c r="V161" s="10" t="s">
        <v>328</v>
      </c>
      <c r="W161" s="1" t="s">
        <v>328</v>
      </c>
    </row>
    <row r="162" spans="1:23" x14ac:dyDescent="0.25">
      <c r="A162" s="1" t="s">
        <v>1167</v>
      </c>
      <c r="B162" s="1" t="s">
        <v>1168</v>
      </c>
      <c r="C162" s="1" t="s">
        <v>19</v>
      </c>
      <c r="D162" s="1">
        <v>30668314313</v>
      </c>
      <c r="E162" s="1" t="s">
        <v>20</v>
      </c>
      <c r="F162" s="1" t="s">
        <v>417</v>
      </c>
      <c r="G162" s="1" t="s">
        <v>53</v>
      </c>
      <c r="H162" s="1" t="s">
        <v>54</v>
      </c>
      <c r="I162" s="1" t="s">
        <v>1170</v>
      </c>
      <c r="J162" s="2">
        <v>21</v>
      </c>
      <c r="K162" s="12">
        <v>12800</v>
      </c>
      <c r="L162" s="2">
        <v>10578.51</v>
      </c>
      <c r="M162" s="2">
        <v>0</v>
      </c>
      <c r="N162" s="12">
        <v>2221.4899999999998</v>
      </c>
      <c r="O162" s="2">
        <v>0</v>
      </c>
      <c r="P162" s="2">
        <v>0</v>
      </c>
      <c r="Q162" s="2">
        <v>0</v>
      </c>
      <c r="R162" s="2">
        <v>0</v>
      </c>
      <c r="S162" s="8" t="s">
        <v>1242</v>
      </c>
      <c r="T162" s="14" t="s">
        <v>328</v>
      </c>
      <c r="U162" s="10" t="s">
        <v>328</v>
      </c>
      <c r="V162" s="10" t="s">
        <v>328</v>
      </c>
      <c r="W162" s="1" t="s">
        <v>328</v>
      </c>
    </row>
    <row r="163" spans="1:23" x14ac:dyDescent="0.25">
      <c r="A163" s="1" t="s">
        <v>33</v>
      </c>
      <c r="B163" s="1" t="s">
        <v>34</v>
      </c>
      <c r="C163" s="1" t="s">
        <v>19</v>
      </c>
      <c r="D163" s="1">
        <v>33708336969</v>
      </c>
      <c r="E163" s="1" t="s">
        <v>20</v>
      </c>
      <c r="F163" s="1" t="s">
        <v>417</v>
      </c>
      <c r="G163" s="1" t="s">
        <v>53</v>
      </c>
      <c r="H163" s="1" t="s">
        <v>54</v>
      </c>
      <c r="I163" s="1" t="s">
        <v>742</v>
      </c>
      <c r="J163" s="2">
        <v>21</v>
      </c>
      <c r="K163" s="12">
        <v>8166.1</v>
      </c>
      <c r="L163" s="2">
        <v>6748.84</v>
      </c>
      <c r="M163" s="2">
        <v>0</v>
      </c>
      <c r="N163" s="12">
        <v>1417.26</v>
      </c>
      <c r="O163" s="2">
        <v>0</v>
      </c>
      <c r="P163" s="2">
        <v>0</v>
      </c>
      <c r="Q163" s="2">
        <v>0</v>
      </c>
      <c r="R163" s="2">
        <v>0</v>
      </c>
      <c r="S163" s="8" t="s">
        <v>1002</v>
      </c>
      <c r="T163" s="14" t="s">
        <v>328</v>
      </c>
      <c r="U163" s="10" t="s">
        <v>328</v>
      </c>
      <c r="V163" s="10" t="s">
        <v>328</v>
      </c>
      <c r="W163" s="1" t="s">
        <v>328</v>
      </c>
    </row>
    <row r="164" spans="1:23" x14ac:dyDescent="0.25">
      <c r="A164" s="1" t="s">
        <v>33</v>
      </c>
      <c r="B164" s="1" t="s">
        <v>34</v>
      </c>
      <c r="C164" s="1" t="s">
        <v>19</v>
      </c>
      <c r="D164" s="1">
        <v>33708336969</v>
      </c>
      <c r="E164" s="1" t="s">
        <v>20</v>
      </c>
      <c r="F164" s="1" t="s">
        <v>417</v>
      </c>
      <c r="G164" s="1" t="s">
        <v>53</v>
      </c>
      <c r="H164" s="1" t="s">
        <v>54</v>
      </c>
      <c r="I164" s="1" t="s">
        <v>742</v>
      </c>
      <c r="J164" s="2">
        <v>0</v>
      </c>
      <c r="K164" s="12">
        <v>33.9</v>
      </c>
      <c r="L164" s="2">
        <v>0</v>
      </c>
      <c r="M164" s="2">
        <v>33.9</v>
      </c>
      <c r="N164" s="12">
        <v>0</v>
      </c>
      <c r="O164" s="2">
        <v>0</v>
      </c>
      <c r="P164" s="2">
        <v>0</v>
      </c>
      <c r="Q164" s="2">
        <v>0</v>
      </c>
      <c r="R164" s="2">
        <v>0</v>
      </c>
      <c r="S164" s="8" t="s">
        <v>1002</v>
      </c>
      <c r="T164" s="14" t="s">
        <v>328</v>
      </c>
      <c r="U164" s="10" t="s">
        <v>328</v>
      </c>
      <c r="V164" s="10" t="s">
        <v>328</v>
      </c>
      <c r="W164" s="1" t="s">
        <v>328</v>
      </c>
    </row>
    <row r="165" spans="1:23" x14ac:dyDescent="0.25">
      <c r="A165" s="1" t="s">
        <v>263</v>
      </c>
      <c r="B165" s="1" t="s">
        <v>264</v>
      </c>
      <c r="C165" s="1" t="s">
        <v>19</v>
      </c>
      <c r="D165" s="1">
        <v>30521137963</v>
      </c>
      <c r="E165" s="1" t="s">
        <v>20</v>
      </c>
      <c r="F165" s="1" t="s">
        <v>417</v>
      </c>
      <c r="G165" s="1" t="s">
        <v>53</v>
      </c>
      <c r="H165" s="1" t="s">
        <v>54</v>
      </c>
      <c r="I165" s="1" t="s">
        <v>743</v>
      </c>
      <c r="J165" s="2">
        <v>21</v>
      </c>
      <c r="K165" s="12">
        <v>28801.67</v>
      </c>
      <c r="L165" s="2">
        <v>23803.03</v>
      </c>
      <c r="M165" s="2">
        <v>0</v>
      </c>
      <c r="N165" s="12">
        <v>4998.6400000000003</v>
      </c>
      <c r="O165" s="2">
        <v>0</v>
      </c>
      <c r="P165" s="2">
        <v>0</v>
      </c>
      <c r="Q165" s="2">
        <v>0</v>
      </c>
      <c r="R165" s="2">
        <v>0</v>
      </c>
      <c r="S165" s="8" t="s">
        <v>1003</v>
      </c>
      <c r="T165" s="14" t="s">
        <v>328</v>
      </c>
      <c r="U165" s="10" t="s">
        <v>328</v>
      </c>
      <c r="V165" s="10" t="s">
        <v>328</v>
      </c>
      <c r="W165" s="1" t="s">
        <v>328</v>
      </c>
    </row>
    <row r="166" spans="1:23" x14ac:dyDescent="0.25">
      <c r="A166" s="1" t="s">
        <v>263</v>
      </c>
      <c r="B166" s="1" t="s">
        <v>264</v>
      </c>
      <c r="C166" s="1" t="s">
        <v>19</v>
      </c>
      <c r="D166" s="1">
        <v>30521137963</v>
      </c>
      <c r="E166" s="1" t="s">
        <v>20</v>
      </c>
      <c r="F166" s="1" t="s">
        <v>417</v>
      </c>
      <c r="G166" s="1" t="s">
        <v>53</v>
      </c>
      <c r="H166" s="1" t="s">
        <v>54</v>
      </c>
      <c r="I166" s="1" t="s">
        <v>743</v>
      </c>
      <c r="J166" s="2">
        <v>0</v>
      </c>
      <c r="K166" s="12">
        <v>38.340000000000003</v>
      </c>
      <c r="L166" s="2">
        <v>0</v>
      </c>
      <c r="M166" s="2">
        <v>38.340000000000003</v>
      </c>
      <c r="N166" s="12">
        <v>0</v>
      </c>
      <c r="O166" s="2">
        <v>0</v>
      </c>
      <c r="P166" s="2">
        <v>0</v>
      </c>
      <c r="Q166" s="2">
        <v>0</v>
      </c>
      <c r="R166" s="2">
        <v>0</v>
      </c>
      <c r="S166" s="8" t="s">
        <v>1003</v>
      </c>
      <c r="T166" s="14" t="s">
        <v>328</v>
      </c>
      <c r="U166" s="10" t="s">
        <v>328</v>
      </c>
      <c r="V166" s="10" t="s">
        <v>328</v>
      </c>
      <c r="W166" s="1" t="s">
        <v>328</v>
      </c>
    </row>
    <row r="167" spans="1:23" x14ac:dyDescent="0.25">
      <c r="A167" s="1" t="s">
        <v>1104</v>
      </c>
      <c r="B167" s="1" t="s">
        <v>1105</v>
      </c>
      <c r="C167" s="1" t="s">
        <v>19</v>
      </c>
      <c r="D167" s="1">
        <v>30709514144</v>
      </c>
      <c r="E167" s="1" t="s">
        <v>20</v>
      </c>
      <c r="F167" s="1" t="s">
        <v>417</v>
      </c>
      <c r="G167" s="1" t="s">
        <v>53</v>
      </c>
      <c r="H167" s="1" t="s">
        <v>54</v>
      </c>
      <c r="I167" s="1" t="s">
        <v>1171</v>
      </c>
      <c r="J167" s="2">
        <v>27</v>
      </c>
      <c r="K167" s="12">
        <v>18115.89</v>
      </c>
      <c r="L167" s="2">
        <v>13935.3</v>
      </c>
      <c r="M167" s="2">
        <v>0</v>
      </c>
      <c r="N167" s="12">
        <v>3762.53</v>
      </c>
      <c r="O167" s="2">
        <v>418.06</v>
      </c>
      <c r="P167" s="2">
        <v>0</v>
      </c>
      <c r="Q167" s="2">
        <v>0</v>
      </c>
      <c r="R167" s="2">
        <v>0</v>
      </c>
      <c r="S167" s="8" t="s">
        <v>1243</v>
      </c>
      <c r="T167" s="14" t="s">
        <v>328</v>
      </c>
      <c r="U167" s="10" t="s">
        <v>328</v>
      </c>
      <c r="V167" s="10" t="s">
        <v>328</v>
      </c>
      <c r="W167" s="1" t="s">
        <v>328</v>
      </c>
    </row>
    <row r="168" spans="1:23" x14ac:dyDescent="0.25">
      <c r="A168" s="1" t="s">
        <v>1104</v>
      </c>
      <c r="B168" s="1" t="s">
        <v>1105</v>
      </c>
      <c r="C168" s="1" t="s">
        <v>19</v>
      </c>
      <c r="D168" s="1">
        <v>30709514144</v>
      </c>
      <c r="E168" s="1" t="s">
        <v>20</v>
      </c>
      <c r="F168" s="1" t="s">
        <v>417</v>
      </c>
      <c r="G168" s="1" t="s">
        <v>53</v>
      </c>
      <c r="H168" s="1" t="s">
        <v>54</v>
      </c>
      <c r="I168" s="1" t="s">
        <v>1171</v>
      </c>
      <c r="J168" s="2">
        <v>0</v>
      </c>
      <c r="K168" s="12">
        <v>362.32</v>
      </c>
      <c r="L168" s="2">
        <v>0</v>
      </c>
      <c r="M168" s="2">
        <v>362.32</v>
      </c>
      <c r="N168" s="12">
        <v>0</v>
      </c>
      <c r="O168" s="2">
        <v>0</v>
      </c>
      <c r="P168" s="2">
        <v>0</v>
      </c>
      <c r="Q168" s="2">
        <v>0</v>
      </c>
      <c r="R168" s="2">
        <v>0</v>
      </c>
      <c r="S168" s="8" t="s">
        <v>1243</v>
      </c>
      <c r="T168" s="14" t="s">
        <v>328</v>
      </c>
      <c r="U168" s="10" t="s">
        <v>328</v>
      </c>
      <c r="V168" s="10" t="s">
        <v>328</v>
      </c>
      <c r="W168" s="1" t="s">
        <v>328</v>
      </c>
    </row>
    <row r="169" spans="1:23" x14ac:dyDescent="0.25">
      <c r="A169" s="1" t="s">
        <v>1104</v>
      </c>
      <c r="B169" s="1" t="s">
        <v>1105</v>
      </c>
      <c r="C169" s="1" t="s">
        <v>19</v>
      </c>
      <c r="D169" s="1">
        <v>30709514144</v>
      </c>
      <c r="E169" s="1" t="s">
        <v>20</v>
      </c>
      <c r="F169" s="1" t="s">
        <v>417</v>
      </c>
      <c r="G169" s="1" t="s">
        <v>53</v>
      </c>
      <c r="H169" s="1" t="s">
        <v>54</v>
      </c>
      <c r="I169" s="1" t="s">
        <v>1172</v>
      </c>
      <c r="J169" s="2">
        <v>27</v>
      </c>
      <c r="K169" s="12">
        <v>22719.53</v>
      </c>
      <c r="L169" s="2">
        <v>17476.560000000001</v>
      </c>
      <c r="M169" s="2">
        <v>0</v>
      </c>
      <c r="N169" s="12">
        <v>4718.67</v>
      </c>
      <c r="O169" s="2">
        <v>524.29999999999995</v>
      </c>
      <c r="P169" s="2">
        <v>0</v>
      </c>
      <c r="Q169" s="2">
        <v>0</v>
      </c>
      <c r="R169" s="2">
        <v>0</v>
      </c>
      <c r="S169" s="8" t="s">
        <v>1244</v>
      </c>
      <c r="T169" s="14" t="s">
        <v>328</v>
      </c>
      <c r="U169" s="10" t="s">
        <v>328</v>
      </c>
      <c r="V169" s="10" t="s">
        <v>328</v>
      </c>
      <c r="W169" s="1" t="s">
        <v>328</v>
      </c>
    </row>
    <row r="170" spans="1:23" x14ac:dyDescent="0.25">
      <c r="A170" s="1" t="s">
        <v>1104</v>
      </c>
      <c r="B170" s="1" t="s">
        <v>1105</v>
      </c>
      <c r="C170" s="1" t="s">
        <v>19</v>
      </c>
      <c r="D170" s="1">
        <v>30709514144</v>
      </c>
      <c r="E170" s="1" t="s">
        <v>20</v>
      </c>
      <c r="F170" s="1" t="s">
        <v>417</v>
      </c>
      <c r="G170" s="1" t="s">
        <v>53</v>
      </c>
      <c r="H170" s="1" t="s">
        <v>54</v>
      </c>
      <c r="I170" s="1" t="s">
        <v>1172</v>
      </c>
      <c r="J170" s="2">
        <v>0</v>
      </c>
      <c r="K170" s="12">
        <v>454.39</v>
      </c>
      <c r="L170" s="2">
        <v>0</v>
      </c>
      <c r="M170" s="2">
        <v>454.39</v>
      </c>
      <c r="N170" s="12">
        <v>0</v>
      </c>
      <c r="O170" s="2">
        <v>0</v>
      </c>
      <c r="P170" s="2">
        <v>0</v>
      </c>
      <c r="Q170" s="2">
        <v>0</v>
      </c>
      <c r="R170" s="2">
        <v>0</v>
      </c>
      <c r="S170" s="8" t="s">
        <v>1244</v>
      </c>
      <c r="T170" s="14" t="s">
        <v>328</v>
      </c>
      <c r="U170" s="10" t="s">
        <v>328</v>
      </c>
      <c r="V170" s="10" t="s">
        <v>328</v>
      </c>
      <c r="W170" s="1" t="s">
        <v>328</v>
      </c>
    </row>
    <row r="171" spans="1:23" x14ac:dyDescent="0.25">
      <c r="A171" s="1" t="s">
        <v>1104</v>
      </c>
      <c r="B171" s="1" t="s">
        <v>1105</v>
      </c>
      <c r="C171" s="1" t="s">
        <v>19</v>
      </c>
      <c r="D171" s="1">
        <v>30709514144</v>
      </c>
      <c r="E171" s="1" t="s">
        <v>20</v>
      </c>
      <c r="F171" s="1" t="s">
        <v>417</v>
      </c>
      <c r="G171" s="1" t="s">
        <v>53</v>
      </c>
      <c r="H171" s="1" t="s">
        <v>54</v>
      </c>
      <c r="I171" s="1" t="s">
        <v>1173</v>
      </c>
      <c r="J171" s="2">
        <v>27</v>
      </c>
      <c r="K171" s="12">
        <v>27323.14</v>
      </c>
      <c r="L171" s="2">
        <v>21017.8</v>
      </c>
      <c r="M171" s="2">
        <v>0</v>
      </c>
      <c r="N171" s="12">
        <v>5674.81</v>
      </c>
      <c r="O171" s="2">
        <v>630.53</v>
      </c>
      <c r="P171" s="2">
        <v>0</v>
      </c>
      <c r="Q171" s="2">
        <v>0</v>
      </c>
      <c r="R171" s="2">
        <v>0</v>
      </c>
      <c r="S171" s="8" t="s">
        <v>1245</v>
      </c>
      <c r="T171" s="14" t="s">
        <v>328</v>
      </c>
      <c r="U171" s="10" t="s">
        <v>328</v>
      </c>
      <c r="V171" s="10" t="s">
        <v>328</v>
      </c>
      <c r="W171" s="1" t="s">
        <v>328</v>
      </c>
    </row>
    <row r="172" spans="1:23" x14ac:dyDescent="0.25">
      <c r="A172" s="1" t="s">
        <v>1104</v>
      </c>
      <c r="B172" s="1" t="s">
        <v>1105</v>
      </c>
      <c r="C172" s="1" t="s">
        <v>19</v>
      </c>
      <c r="D172" s="1">
        <v>30709514144</v>
      </c>
      <c r="E172" s="1" t="s">
        <v>20</v>
      </c>
      <c r="F172" s="1" t="s">
        <v>417</v>
      </c>
      <c r="G172" s="1" t="s">
        <v>53</v>
      </c>
      <c r="H172" s="1" t="s">
        <v>54</v>
      </c>
      <c r="I172" s="1" t="s">
        <v>1173</v>
      </c>
      <c r="J172" s="2">
        <v>0</v>
      </c>
      <c r="K172" s="12">
        <v>546.46</v>
      </c>
      <c r="L172" s="2">
        <v>0</v>
      </c>
      <c r="M172" s="2">
        <v>546.46</v>
      </c>
      <c r="N172" s="12">
        <v>0</v>
      </c>
      <c r="O172" s="2">
        <v>0</v>
      </c>
      <c r="P172" s="2">
        <v>0</v>
      </c>
      <c r="Q172" s="2">
        <v>0</v>
      </c>
      <c r="R172" s="2">
        <v>0</v>
      </c>
      <c r="S172" s="8" t="s">
        <v>1245</v>
      </c>
      <c r="T172" s="14" t="s">
        <v>328</v>
      </c>
      <c r="U172" s="10" t="s">
        <v>328</v>
      </c>
      <c r="V172" s="10" t="s">
        <v>328</v>
      </c>
      <c r="W172" s="1" t="s">
        <v>328</v>
      </c>
    </row>
    <row r="173" spans="1:23" x14ac:dyDescent="0.25">
      <c r="A173" s="1" t="s">
        <v>1104</v>
      </c>
      <c r="B173" s="1" t="s">
        <v>1105</v>
      </c>
      <c r="C173" s="1" t="s">
        <v>19</v>
      </c>
      <c r="D173" s="1">
        <v>30709514144</v>
      </c>
      <c r="E173" s="1" t="s">
        <v>20</v>
      </c>
      <c r="F173" s="1" t="s">
        <v>417</v>
      </c>
      <c r="G173" s="1" t="s">
        <v>53</v>
      </c>
      <c r="H173" s="1" t="s">
        <v>54</v>
      </c>
      <c r="I173" s="1" t="s">
        <v>1174</v>
      </c>
      <c r="J173" s="2">
        <v>27</v>
      </c>
      <c r="K173" s="12">
        <v>23870.42</v>
      </c>
      <c r="L173" s="2">
        <v>18361.86</v>
      </c>
      <c r="M173" s="2">
        <v>0</v>
      </c>
      <c r="N173" s="12">
        <v>4957.7</v>
      </c>
      <c r="O173" s="2">
        <v>550.86</v>
      </c>
      <c r="P173" s="2">
        <v>0</v>
      </c>
      <c r="Q173" s="2">
        <v>0</v>
      </c>
      <c r="R173" s="2">
        <v>0</v>
      </c>
      <c r="S173" s="8" t="s">
        <v>1246</v>
      </c>
      <c r="T173" s="14" t="s">
        <v>328</v>
      </c>
      <c r="U173" s="10" t="s">
        <v>328</v>
      </c>
      <c r="V173" s="10" t="s">
        <v>328</v>
      </c>
      <c r="W173" s="1" t="s">
        <v>328</v>
      </c>
    </row>
    <row r="174" spans="1:23" x14ac:dyDescent="0.25">
      <c r="A174" s="1" t="s">
        <v>1104</v>
      </c>
      <c r="B174" s="1" t="s">
        <v>1105</v>
      </c>
      <c r="C174" s="1" t="s">
        <v>19</v>
      </c>
      <c r="D174" s="1">
        <v>30709514144</v>
      </c>
      <c r="E174" s="1" t="s">
        <v>20</v>
      </c>
      <c r="F174" s="1" t="s">
        <v>417</v>
      </c>
      <c r="G174" s="1" t="s">
        <v>53</v>
      </c>
      <c r="H174" s="1" t="s">
        <v>54</v>
      </c>
      <c r="I174" s="1" t="s">
        <v>1174</v>
      </c>
      <c r="J174" s="2">
        <v>0</v>
      </c>
      <c r="K174" s="12">
        <v>477.41</v>
      </c>
      <c r="L174" s="2">
        <v>0</v>
      </c>
      <c r="M174" s="2">
        <v>477.41</v>
      </c>
      <c r="N174" s="12">
        <v>0</v>
      </c>
      <c r="O174" s="2">
        <v>0</v>
      </c>
      <c r="P174" s="2">
        <v>0</v>
      </c>
      <c r="Q174" s="2">
        <v>0</v>
      </c>
      <c r="R174" s="2">
        <v>0</v>
      </c>
      <c r="S174" s="8" t="s">
        <v>1246</v>
      </c>
      <c r="T174" s="14" t="s">
        <v>328</v>
      </c>
      <c r="U174" s="10" t="s">
        <v>328</v>
      </c>
      <c r="V174" s="10" t="s">
        <v>328</v>
      </c>
      <c r="W174" s="1" t="s">
        <v>328</v>
      </c>
    </row>
    <row r="175" spans="1:23" x14ac:dyDescent="0.25">
      <c r="A175" s="1" t="s">
        <v>1104</v>
      </c>
      <c r="B175" s="1" t="s">
        <v>1105</v>
      </c>
      <c r="C175" s="1" t="s">
        <v>19</v>
      </c>
      <c r="D175" s="1">
        <v>30709514144</v>
      </c>
      <c r="E175" s="1" t="s">
        <v>20</v>
      </c>
      <c r="F175" s="1" t="s">
        <v>417</v>
      </c>
      <c r="G175" s="1" t="s">
        <v>53</v>
      </c>
      <c r="H175" s="1" t="s">
        <v>54</v>
      </c>
      <c r="I175" s="1" t="s">
        <v>1175</v>
      </c>
      <c r="J175" s="2">
        <v>27</v>
      </c>
      <c r="K175" s="12">
        <v>18149.099999999999</v>
      </c>
      <c r="L175" s="2">
        <v>13960.84</v>
      </c>
      <c r="M175" s="2">
        <v>0</v>
      </c>
      <c r="N175" s="12">
        <v>3769.43</v>
      </c>
      <c r="O175" s="2">
        <v>418.83</v>
      </c>
      <c r="P175" s="2">
        <v>0</v>
      </c>
      <c r="Q175" s="2">
        <v>0</v>
      </c>
      <c r="R175" s="2">
        <v>0</v>
      </c>
      <c r="S175" s="8" t="s">
        <v>1247</v>
      </c>
      <c r="T175" s="14" t="s">
        <v>328</v>
      </c>
      <c r="U175" s="10" t="s">
        <v>328</v>
      </c>
      <c r="V175" s="10" t="s">
        <v>328</v>
      </c>
      <c r="W175" s="1" t="s">
        <v>328</v>
      </c>
    </row>
    <row r="176" spans="1:23" x14ac:dyDescent="0.25">
      <c r="A176" s="1" t="s">
        <v>1104</v>
      </c>
      <c r="B176" s="1" t="s">
        <v>1105</v>
      </c>
      <c r="C176" s="1" t="s">
        <v>19</v>
      </c>
      <c r="D176" s="1">
        <v>30709514144</v>
      </c>
      <c r="E176" s="1" t="s">
        <v>20</v>
      </c>
      <c r="F176" s="1" t="s">
        <v>417</v>
      </c>
      <c r="G176" s="1" t="s">
        <v>53</v>
      </c>
      <c r="H176" s="1" t="s">
        <v>54</v>
      </c>
      <c r="I176" s="1" t="s">
        <v>1175</v>
      </c>
      <c r="J176" s="2">
        <v>0</v>
      </c>
      <c r="K176" s="12">
        <v>1759.06</v>
      </c>
      <c r="L176" s="2">
        <v>0</v>
      </c>
      <c r="M176" s="2">
        <v>1759.06</v>
      </c>
      <c r="N176" s="12">
        <v>0</v>
      </c>
      <c r="O176" s="2">
        <v>0</v>
      </c>
      <c r="P176" s="2">
        <v>0</v>
      </c>
      <c r="Q176" s="2">
        <v>0</v>
      </c>
      <c r="R176" s="2">
        <v>0</v>
      </c>
      <c r="S176" s="8" t="s">
        <v>1247</v>
      </c>
      <c r="T176" s="14" t="s">
        <v>328</v>
      </c>
      <c r="U176" s="10" t="s">
        <v>328</v>
      </c>
      <c r="V176" s="10" t="s">
        <v>328</v>
      </c>
      <c r="W176" s="1" t="s">
        <v>328</v>
      </c>
    </row>
    <row r="177" spans="1:23" x14ac:dyDescent="0.25">
      <c r="A177" s="1" t="s">
        <v>1104</v>
      </c>
      <c r="B177" s="1" t="s">
        <v>1105</v>
      </c>
      <c r="C177" s="1" t="s">
        <v>19</v>
      </c>
      <c r="D177" s="1">
        <v>30709514144</v>
      </c>
      <c r="E177" s="1" t="s">
        <v>20</v>
      </c>
      <c r="F177" s="1" t="s">
        <v>417</v>
      </c>
      <c r="G177" s="1" t="s">
        <v>53</v>
      </c>
      <c r="H177" s="1" t="s">
        <v>54</v>
      </c>
      <c r="I177" s="1" t="s">
        <v>1176</v>
      </c>
      <c r="J177" s="2">
        <v>27</v>
      </c>
      <c r="K177" s="12">
        <v>33077.67</v>
      </c>
      <c r="L177" s="2">
        <v>25444.36</v>
      </c>
      <c r="M177" s="2">
        <v>0</v>
      </c>
      <c r="N177" s="12">
        <v>6869.98</v>
      </c>
      <c r="O177" s="2">
        <v>763.33</v>
      </c>
      <c r="P177" s="2">
        <v>0</v>
      </c>
      <c r="Q177" s="2">
        <v>0</v>
      </c>
      <c r="R177" s="2">
        <v>0</v>
      </c>
      <c r="S177" s="8" t="s">
        <v>1248</v>
      </c>
      <c r="T177" s="14" t="s">
        <v>328</v>
      </c>
      <c r="U177" s="10" t="s">
        <v>328</v>
      </c>
      <c r="V177" s="10" t="s">
        <v>328</v>
      </c>
      <c r="W177" s="1" t="s">
        <v>328</v>
      </c>
    </row>
    <row r="178" spans="1:23" x14ac:dyDescent="0.25">
      <c r="A178" s="1" t="s">
        <v>1104</v>
      </c>
      <c r="B178" s="1" t="s">
        <v>1105</v>
      </c>
      <c r="C178" s="1" t="s">
        <v>19</v>
      </c>
      <c r="D178" s="1">
        <v>30709514144</v>
      </c>
      <c r="E178" s="1" t="s">
        <v>20</v>
      </c>
      <c r="F178" s="1" t="s">
        <v>417</v>
      </c>
      <c r="G178" s="1" t="s">
        <v>53</v>
      </c>
      <c r="H178" s="1" t="s">
        <v>54</v>
      </c>
      <c r="I178" s="1" t="s">
        <v>1176</v>
      </c>
      <c r="J178" s="2">
        <v>0</v>
      </c>
      <c r="K178" s="12">
        <v>661.55</v>
      </c>
      <c r="L178" s="2">
        <v>0</v>
      </c>
      <c r="M178" s="2">
        <v>661.55</v>
      </c>
      <c r="N178" s="12">
        <v>0</v>
      </c>
      <c r="O178" s="2">
        <v>0</v>
      </c>
      <c r="P178" s="2">
        <v>0</v>
      </c>
      <c r="Q178" s="2">
        <v>0</v>
      </c>
      <c r="R178" s="2">
        <v>0</v>
      </c>
      <c r="S178" s="8" t="s">
        <v>1248</v>
      </c>
      <c r="T178" s="14" t="s">
        <v>328</v>
      </c>
      <c r="U178" s="10" t="s">
        <v>328</v>
      </c>
      <c r="V178" s="10" t="s">
        <v>328</v>
      </c>
      <c r="W178" s="1" t="s">
        <v>328</v>
      </c>
    </row>
    <row r="179" spans="1:23" x14ac:dyDescent="0.25">
      <c r="A179" s="1" t="s">
        <v>147</v>
      </c>
      <c r="B179" s="1" t="s">
        <v>745</v>
      </c>
      <c r="C179" s="1" t="s">
        <v>19</v>
      </c>
      <c r="D179" s="1">
        <v>30500010084</v>
      </c>
      <c r="E179" s="1" t="s">
        <v>20</v>
      </c>
      <c r="F179" s="1" t="s">
        <v>417</v>
      </c>
      <c r="G179" s="1" t="s">
        <v>53</v>
      </c>
      <c r="H179" s="1" t="s">
        <v>54</v>
      </c>
      <c r="I179" s="1" t="s">
        <v>746</v>
      </c>
      <c r="J179" s="2">
        <v>10.5</v>
      </c>
      <c r="K179" s="12">
        <v>44937.7</v>
      </c>
      <c r="L179" s="2">
        <v>40667.599999999999</v>
      </c>
      <c r="M179" s="2">
        <v>0</v>
      </c>
      <c r="N179" s="12">
        <v>4270.1000000000004</v>
      </c>
      <c r="O179" s="2">
        <v>0</v>
      </c>
      <c r="P179" s="2">
        <v>0</v>
      </c>
      <c r="Q179" s="2">
        <v>0</v>
      </c>
      <c r="R179" s="2">
        <v>0</v>
      </c>
      <c r="S179" s="8" t="s">
        <v>1004</v>
      </c>
      <c r="T179" s="14" t="s">
        <v>328</v>
      </c>
      <c r="U179" s="10" t="s">
        <v>328</v>
      </c>
      <c r="V179" s="10" t="s">
        <v>328</v>
      </c>
      <c r="W179" s="1" t="s">
        <v>328</v>
      </c>
    </row>
    <row r="180" spans="1:23" x14ac:dyDescent="0.25">
      <c r="A180" s="1" t="s">
        <v>147</v>
      </c>
      <c r="B180" s="1" t="s">
        <v>745</v>
      </c>
      <c r="C180" s="1" t="s">
        <v>19</v>
      </c>
      <c r="D180" s="1">
        <v>30500010084</v>
      </c>
      <c r="E180" s="1" t="s">
        <v>20</v>
      </c>
      <c r="F180" s="1" t="s">
        <v>417</v>
      </c>
      <c r="G180" s="1" t="s">
        <v>53</v>
      </c>
      <c r="H180" s="1" t="s">
        <v>54</v>
      </c>
      <c r="I180" s="1" t="s">
        <v>746</v>
      </c>
      <c r="J180" s="2">
        <v>0</v>
      </c>
      <c r="K180" s="12">
        <v>4145.29</v>
      </c>
      <c r="L180" s="2">
        <v>0</v>
      </c>
      <c r="M180" s="2">
        <v>4145.29</v>
      </c>
      <c r="N180" s="12">
        <v>0</v>
      </c>
      <c r="O180" s="2">
        <v>0</v>
      </c>
      <c r="P180" s="2">
        <v>0</v>
      </c>
      <c r="Q180" s="2">
        <v>0</v>
      </c>
      <c r="R180" s="2">
        <v>0</v>
      </c>
      <c r="S180" s="8" t="s">
        <v>1004</v>
      </c>
      <c r="T180" s="14" t="s">
        <v>328</v>
      </c>
      <c r="U180" s="10" t="s">
        <v>328</v>
      </c>
      <c r="V180" s="10" t="s">
        <v>328</v>
      </c>
      <c r="W180" s="1" t="s">
        <v>328</v>
      </c>
    </row>
    <row r="181" spans="1:23" x14ac:dyDescent="0.25">
      <c r="A181" s="1" t="s">
        <v>147</v>
      </c>
      <c r="B181" s="1" t="s">
        <v>745</v>
      </c>
      <c r="C181" s="1" t="s">
        <v>19</v>
      </c>
      <c r="D181" s="1">
        <v>30500010084</v>
      </c>
      <c r="E181" s="1" t="s">
        <v>20</v>
      </c>
      <c r="F181" s="1" t="s">
        <v>417</v>
      </c>
      <c r="G181" s="1" t="s">
        <v>53</v>
      </c>
      <c r="H181" s="1" t="s">
        <v>54</v>
      </c>
      <c r="I181" s="1" t="s">
        <v>747</v>
      </c>
      <c r="J181" s="2">
        <v>10.5</v>
      </c>
      <c r="K181" s="12">
        <v>260128.41</v>
      </c>
      <c r="L181" s="2">
        <v>235410.33</v>
      </c>
      <c r="M181" s="2">
        <v>0</v>
      </c>
      <c r="N181" s="12">
        <v>24718.080000000002</v>
      </c>
      <c r="O181" s="2">
        <v>0</v>
      </c>
      <c r="P181" s="2">
        <v>0</v>
      </c>
      <c r="Q181" s="2">
        <v>0</v>
      </c>
      <c r="R181" s="2">
        <v>0</v>
      </c>
      <c r="S181" s="8" t="s">
        <v>1005</v>
      </c>
      <c r="T181" s="14" t="s">
        <v>328</v>
      </c>
      <c r="U181" s="10" t="s">
        <v>328</v>
      </c>
      <c r="V181" s="10" t="s">
        <v>328</v>
      </c>
      <c r="W181" s="1" t="s">
        <v>328</v>
      </c>
    </row>
    <row r="182" spans="1:23" x14ac:dyDescent="0.25">
      <c r="A182" s="1" t="s">
        <v>147</v>
      </c>
      <c r="B182" s="1" t="s">
        <v>745</v>
      </c>
      <c r="C182" s="1" t="s">
        <v>19</v>
      </c>
      <c r="D182" s="1">
        <v>30500010084</v>
      </c>
      <c r="E182" s="1" t="s">
        <v>20</v>
      </c>
      <c r="F182" s="1" t="s">
        <v>417</v>
      </c>
      <c r="G182" s="1" t="s">
        <v>53</v>
      </c>
      <c r="H182" s="1" t="s">
        <v>54</v>
      </c>
      <c r="I182" s="1" t="s">
        <v>747</v>
      </c>
      <c r="J182" s="2">
        <v>0</v>
      </c>
      <c r="K182" s="12">
        <v>25581.15</v>
      </c>
      <c r="L182" s="2">
        <v>0</v>
      </c>
      <c r="M182" s="2">
        <v>25581.15</v>
      </c>
      <c r="N182" s="12">
        <v>0</v>
      </c>
      <c r="O182" s="2">
        <v>0</v>
      </c>
      <c r="P182" s="2">
        <v>0</v>
      </c>
      <c r="Q182" s="2">
        <v>0</v>
      </c>
      <c r="R182" s="2">
        <v>0</v>
      </c>
      <c r="S182" s="8" t="s">
        <v>1005</v>
      </c>
      <c r="T182" s="14" t="s">
        <v>328</v>
      </c>
      <c r="U182" s="10" t="s">
        <v>328</v>
      </c>
      <c r="V182" s="10" t="s">
        <v>328</v>
      </c>
      <c r="W182" s="1" t="s">
        <v>328</v>
      </c>
    </row>
    <row r="183" spans="1:23" x14ac:dyDescent="0.25">
      <c r="A183" s="1" t="s">
        <v>755</v>
      </c>
      <c r="B183" s="1" t="s">
        <v>756</v>
      </c>
      <c r="C183" s="1" t="s">
        <v>19</v>
      </c>
      <c r="D183" s="1">
        <v>20062619598</v>
      </c>
      <c r="E183" s="1" t="s">
        <v>20</v>
      </c>
      <c r="F183" s="1" t="s">
        <v>749</v>
      </c>
      <c r="G183" s="1" t="s">
        <v>53</v>
      </c>
      <c r="H183" s="1" t="s">
        <v>54</v>
      </c>
      <c r="I183" s="1" t="s">
        <v>757</v>
      </c>
      <c r="J183" s="2">
        <v>21</v>
      </c>
      <c r="K183" s="12">
        <v>6001.21</v>
      </c>
      <c r="L183" s="2">
        <v>4959.68</v>
      </c>
      <c r="M183" s="2">
        <v>0</v>
      </c>
      <c r="N183" s="12">
        <v>1041.53</v>
      </c>
      <c r="O183" s="2">
        <v>0</v>
      </c>
      <c r="P183" s="2">
        <v>0</v>
      </c>
      <c r="Q183" s="2">
        <v>0</v>
      </c>
      <c r="R183" s="2">
        <v>0</v>
      </c>
      <c r="S183" s="8" t="s">
        <v>1006</v>
      </c>
      <c r="T183" s="14" t="s">
        <v>328</v>
      </c>
      <c r="U183" s="10" t="s">
        <v>328</v>
      </c>
      <c r="V183" s="10" t="s">
        <v>328</v>
      </c>
      <c r="W183" s="1" t="s">
        <v>328</v>
      </c>
    </row>
    <row r="184" spans="1:23" x14ac:dyDescent="0.25">
      <c r="A184" s="1" t="s">
        <v>97</v>
      </c>
      <c r="B184" s="1" t="s">
        <v>98</v>
      </c>
      <c r="C184" s="1" t="s">
        <v>19</v>
      </c>
      <c r="D184" s="1">
        <v>30545788167</v>
      </c>
      <c r="E184" s="1" t="s">
        <v>20</v>
      </c>
      <c r="F184" s="1" t="s">
        <v>749</v>
      </c>
      <c r="G184" s="1" t="s">
        <v>53</v>
      </c>
      <c r="H184" s="1" t="s">
        <v>54</v>
      </c>
      <c r="I184" s="1" t="s">
        <v>1178</v>
      </c>
      <c r="J184" s="2">
        <v>27</v>
      </c>
      <c r="K184" s="12">
        <v>247553.54</v>
      </c>
      <c r="L184" s="2">
        <v>190425.8</v>
      </c>
      <c r="M184" s="2">
        <v>0</v>
      </c>
      <c r="N184" s="12">
        <v>51414.97</v>
      </c>
      <c r="O184" s="2">
        <v>5712.77</v>
      </c>
      <c r="P184" s="2">
        <v>0</v>
      </c>
      <c r="Q184" s="2">
        <v>0</v>
      </c>
      <c r="R184" s="2">
        <v>0</v>
      </c>
      <c r="S184" s="8" t="s">
        <v>1249</v>
      </c>
      <c r="T184" s="14" t="s">
        <v>328</v>
      </c>
      <c r="U184" s="10" t="s">
        <v>328</v>
      </c>
      <c r="V184" s="10" t="s">
        <v>328</v>
      </c>
      <c r="W184" s="1" t="s">
        <v>328</v>
      </c>
    </row>
    <row r="185" spans="1:23" x14ac:dyDescent="0.25">
      <c r="A185" s="1" t="s">
        <v>97</v>
      </c>
      <c r="B185" s="1" t="s">
        <v>98</v>
      </c>
      <c r="C185" s="1" t="s">
        <v>19</v>
      </c>
      <c r="D185" s="1">
        <v>30545788167</v>
      </c>
      <c r="E185" s="1" t="s">
        <v>20</v>
      </c>
      <c r="F185" s="1" t="s">
        <v>749</v>
      </c>
      <c r="G185" s="1" t="s">
        <v>53</v>
      </c>
      <c r="H185" s="1" t="s">
        <v>54</v>
      </c>
      <c r="I185" s="1" t="s">
        <v>1178</v>
      </c>
      <c r="J185" s="2">
        <v>0</v>
      </c>
      <c r="K185" s="12">
        <v>12979.33</v>
      </c>
      <c r="L185" s="2">
        <v>0</v>
      </c>
      <c r="M185" s="2">
        <v>12979.33</v>
      </c>
      <c r="N185" s="12">
        <v>0</v>
      </c>
      <c r="O185" s="2">
        <v>0</v>
      </c>
      <c r="P185" s="2">
        <v>0</v>
      </c>
      <c r="Q185" s="2">
        <v>0</v>
      </c>
      <c r="R185" s="2">
        <v>0</v>
      </c>
      <c r="S185" s="8" t="s">
        <v>1249</v>
      </c>
      <c r="T185" s="14" t="s">
        <v>328</v>
      </c>
      <c r="U185" s="10" t="s">
        <v>328</v>
      </c>
      <c r="V185" s="10" t="s">
        <v>328</v>
      </c>
      <c r="W185" s="1" t="s">
        <v>328</v>
      </c>
    </row>
    <row r="186" spans="1:23" x14ac:dyDescent="0.25">
      <c r="A186" s="1" t="s">
        <v>1113</v>
      </c>
      <c r="B186" s="1" t="s">
        <v>1114</v>
      </c>
      <c r="C186" s="1" t="s">
        <v>19</v>
      </c>
      <c r="D186" s="1">
        <v>30634539154</v>
      </c>
      <c r="E186" s="1" t="s">
        <v>20</v>
      </c>
      <c r="F186" s="1" t="s">
        <v>749</v>
      </c>
      <c r="G186" s="1" t="s">
        <v>53</v>
      </c>
      <c r="H186" s="1" t="s">
        <v>54</v>
      </c>
      <c r="I186" s="1" t="s">
        <v>1179</v>
      </c>
      <c r="J186" s="2">
        <v>21</v>
      </c>
      <c r="K186" s="12">
        <v>8100.01</v>
      </c>
      <c r="L186" s="2">
        <v>6694.22</v>
      </c>
      <c r="M186" s="2">
        <v>0</v>
      </c>
      <c r="N186" s="12">
        <v>1405.79</v>
      </c>
      <c r="O186" s="2">
        <v>0</v>
      </c>
      <c r="P186" s="2">
        <v>0</v>
      </c>
      <c r="Q186" s="2">
        <v>0</v>
      </c>
      <c r="R186" s="2">
        <v>0</v>
      </c>
      <c r="S186" s="8" t="s">
        <v>1250</v>
      </c>
      <c r="T186" s="14" t="s">
        <v>328</v>
      </c>
      <c r="U186" s="10" t="s">
        <v>328</v>
      </c>
      <c r="V186" s="10" t="s">
        <v>328</v>
      </c>
      <c r="W186" s="1" t="s">
        <v>328</v>
      </c>
    </row>
    <row r="187" spans="1:23" x14ac:dyDescent="0.25">
      <c r="A187" s="1" t="s">
        <v>1113</v>
      </c>
      <c r="B187" s="1" t="s">
        <v>1114</v>
      </c>
      <c r="C187" s="1" t="s">
        <v>19</v>
      </c>
      <c r="D187" s="1">
        <v>30634539154</v>
      </c>
      <c r="E187" s="1" t="s">
        <v>20</v>
      </c>
      <c r="F187" s="1" t="s">
        <v>749</v>
      </c>
      <c r="G187" s="1" t="s">
        <v>53</v>
      </c>
      <c r="H187" s="1" t="s">
        <v>54</v>
      </c>
      <c r="I187" s="1" t="s">
        <v>1179</v>
      </c>
      <c r="J187" s="2">
        <v>0</v>
      </c>
      <c r="K187" s="12">
        <v>0.24</v>
      </c>
      <c r="L187" s="2">
        <v>0</v>
      </c>
      <c r="M187" s="2">
        <v>0.24</v>
      </c>
      <c r="N187" s="12">
        <v>0</v>
      </c>
      <c r="O187" s="2">
        <v>0</v>
      </c>
      <c r="P187" s="2">
        <v>0</v>
      </c>
      <c r="Q187" s="2">
        <v>0</v>
      </c>
      <c r="R187" s="2">
        <v>0</v>
      </c>
      <c r="S187" s="8" t="s">
        <v>1250</v>
      </c>
      <c r="T187" s="14" t="s">
        <v>328</v>
      </c>
      <c r="U187" s="10" t="s">
        <v>328</v>
      </c>
      <c r="V187" s="10" t="s">
        <v>328</v>
      </c>
      <c r="W187" s="1" t="s">
        <v>328</v>
      </c>
    </row>
    <row r="188" spans="1:23" x14ac:dyDescent="0.25">
      <c r="A188" s="1" t="s">
        <v>33</v>
      </c>
      <c r="B188" s="1" t="s">
        <v>34</v>
      </c>
      <c r="C188" s="1" t="s">
        <v>19</v>
      </c>
      <c r="D188" s="1">
        <v>33708336969</v>
      </c>
      <c r="E188" s="1" t="s">
        <v>20</v>
      </c>
      <c r="F188" s="1" t="s">
        <v>749</v>
      </c>
      <c r="G188" s="1" t="s">
        <v>53</v>
      </c>
      <c r="H188" s="1" t="s">
        <v>54</v>
      </c>
      <c r="I188" s="1" t="s">
        <v>764</v>
      </c>
      <c r="J188" s="2">
        <v>21</v>
      </c>
      <c r="K188" s="12">
        <v>9000</v>
      </c>
      <c r="L188" s="2">
        <v>7438.02</v>
      </c>
      <c r="M188" s="2">
        <v>0</v>
      </c>
      <c r="N188" s="12">
        <v>1561.98</v>
      </c>
      <c r="O188" s="2">
        <v>0</v>
      </c>
      <c r="P188" s="2">
        <v>0</v>
      </c>
      <c r="Q188" s="2">
        <v>0</v>
      </c>
      <c r="R188" s="2">
        <v>0</v>
      </c>
      <c r="S188" s="8" t="s">
        <v>1007</v>
      </c>
      <c r="T188" s="14" t="s">
        <v>328</v>
      </c>
      <c r="U188" s="10" t="s">
        <v>328</v>
      </c>
      <c r="V188" s="10" t="s">
        <v>328</v>
      </c>
      <c r="W188" s="1" t="s">
        <v>328</v>
      </c>
    </row>
    <row r="189" spans="1:23" x14ac:dyDescent="0.25">
      <c r="A189" s="1" t="s">
        <v>150</v>
      </c>
      <c r="B189" s="1" t="s">
        <v>151</v>
      </c>
      <c r="C189" s="1" t="s">
        <v>19</v>
      </c>
      <c r="D189" s="1">
        <v>30500010912</v>
      </c>
      <c r="E189" s="1" t="s">
        <v>20</v>
      </c>
      <c r="F189" s="1" t="s">
        <v>767</v>
      </c>
      <c r="G189" s="1" t="s">
        <v>53</v>
      </c>
      <c r="H189" s="1" t="s">
        <v>54</v>
      </c>
      <c r="I189" s="1" t="s">
        <v>768</v>
      </c>
      <c r="J189" s="2">
        <v>21</v>
      </c>
      <c r="K189" s="12">
        <v>28913.48</v>
      </c>
      <c r="L189" s="2">
        <v>23895.439999999999</v>
      </c>
      <c r="M189" s="2">
        <v>0</v>
      </c>
      <c r="N189" s="12">
        <v>5018.04</v>
      </c>
      <c r="O189" s="2">
        <v>0</v>
      </c>
      <c r="P189" s="2">
        <v>0</v>
      </c>
      <c r="Q189" s="2">
        <v>0</v>
      </c>
      <c r="R189" s="2">
        <v>0</v>
      </c>
      <c r="S189" s="8" t="s">
        <v>1008</v>
      </c>
      <c r="T189" s="14" t="s">
        <v>328</v>
      </c>
      <c r="U189" s="10" t="s">
        <v>328</v>
      </c>
      <c r="V189" s="10" t="s">
        <v>328</v>
      </c>
      <c r="W189" s="1" t="s">
        <v>328</v>
      </c>
    </row>
    <row r="190" spans="1:23" x14ac:dyDescent="0.25">
      <c r="A190" s="1" t="s">
        <v>150</v>
      </c>
      <c r="B190" s="1" t="s">
        <v>151</v>
      </c>
      <c r="C190" s="1" t="s">
        <v>19</v>
      </c>
      <c r="D190" s="1">
        <v>30500010912</v>
      </c>
      <c r="E190" s="1" t="s">
        <v>20</v>
      </c>
      <c r="F190" s="1" t="s">
        <v>767</v>
      </c>
      <c r="G190" s="1" t="s">
        <v>53</v>
      </c>
      <c r="H190" s="1" t="s">
        <v>54</v>
      </c>
      <c r="I190" s="1" t="s">
        <v>769</v>
      </c>
      <c r="J190" s="2">
        <v>21</v>
      </c>
      <c r="K190" s="12">
        <v>522.84</v>
      </c>
      <c r="L190" s="2">
        <v>432.1</v>
      </c>
      <c r="M190" s="2">
        <v>0</v>
      </c>
      <c r="N190" s="12">
        <v>90.74</v>
      </c>
      <c r="O190" s="2">
        <v>0</v>
      </c>
      <c r="P190" s="2">
        <v>0</v>
      </c>
      <c r="Q190" s="2">
        <v>0</v>
      </c>
      <c r="R190" s="2">
        <v>0</v>
      </c>
      <c r="S190" s="8" t="s">
        <v>1009</v>
      </c>
      <c r="T190" s="14" t="s">
        <v>328</v>
      </c>
      <c r="U190" s="10" t="s">
        <v>328</v>
      </c>
      <c r="V190" s="10" t="s">
        <v>328</v>
      </c>
      <c r="W190" s="1" t="s">
        <v>328</v>
      </c>
    </row>
    <row r="191" spans="1:23" x14ac:dyDescent="0.25">
      <c r="A191" s="1" t="s">
        <v>150</v>
      </c>
      <c r="B191" s="1" t="s">
        <v>151</v>
      </c>
      <c r="C191" s="1" t="s">
        <v>19</v>
      </c>
      <c r="D191" s="1">
        <v>30500010912</v>
      </c>
      <c r="E191" s="1" t="s">
        <v>20</v>
      </c>
      <c r="F191" s="1" t="s">
        <v>767</v>
      </c>
      <c r="G191" s="1" t="s">
        <v>53</v>
      </c>
      <c r="H191" s="1" t="s">
        <v>54</v>
      </c>
      <c r="I191" s="1" t="s">
        <v>770</v>
      </c>
      <c r="J191" s="2">
        <v>21</v>
      </c>
      <c r="K191" s="12">
        <v>34.06</v>
      </c>
      <c r="L191" s="2">
        <v>28.15</v>
      </c>
      <c r="M191" s="2">
        <v>0</v>
      </c>
      <c r="N191" s="12">
        <v>5.91</v>
      </c>
      <c r="O191" s="2">
        <v>0</v>
      </c>
      <c r="P191" s="2">
        <v>0</v>
      </c>
      <c r="Q191" s="2">
        <v>0</v>
      </c>
      <c r="R191" s="2">
        <v>0</v>
      </c>
      <c r="S191" s="8" t="s">
        <v>1010</v>
      </c>
      <c r="T191" s="14" t="s">
        <v>328</v>
      </c>
      <c r="U191" s="10" t="s">
        <v>328</v>
      </c>
      <c r="V191" s="10" t="s">
        <v>328</v>
      </c>
      <c r="W191" s="1" t="s">
        <v>328</v>
      </c>
    </row>
    <row r="192" spans="1:23" x14ac:dyDescent="0.25">
      <c r="A192" s="1" t="s">
        <v>150</v>
      </c>
      <c r="B192" s="1" t="s">
        <v>151</v>
      </c>
      <c r="C192" s="1" t="s">
        <v>19</v>
      </c>
      <c r="D192" s="1">
        <v>30500010912</v>
      </c>
      <c r="E192" s="1" t="s">
        <v>20</v>
      </c>
      <c r="F192" s="1" t="s">
        <v>767</v>
      </c>
      <c r="G192" s="1" t="s">
        <v>53</v>
      </c>
      <c r="H192" s="1" t="s">
        <v>54</v>
      </c>
      <c r="I192" s="1" t="s">
        <v>771</v>
      </c>
      <c r="J192" s="2">
        <v>21</v>
      </c>
      <c r="K192" s="12">
        <v>1031.3599999999999</v>
      </c>
      <c r="L192" s="2">
        <v>852.36</v>
      </c>
      <c r="M192" s="2">
        <v>0</v>
      </c>
      <c r="N192" s="12">
        <v>179</v>
      </c>
      <c r="O192" s="2">
        <v>0</v>
      </c>
      <c r="P192" s="2">
        <v>0</v>
      </c>
      <c r="Q192" s="2">
        <v>0</v>
      </c>
      <c r="R192" s="2">
        <v>0</v>
      </c>
      <c r="S192" s="8" t="s">
        <v>1011</v>
      </c>
      <c r="T192" s="14" t="s">
        <v>328</v>
      </c>
      <c r="U192" s="10" t="s">
        <v>328</v>
      </c>
      <c r="V192" s="10" t="s">
        <v>328</v>
      </c>
      <c r="W192" s="1" t="s">
        <v>328</v>
      </c>
    </row>
    <row r="193" spans="1:23" x14ac:dyDescent="0.25">
      <c r="A193" s="1" t="s">
        <v>150</v>
      </c>
      <c r="B193" s="1" t="s">
        <v>151</v>
      </c>
      <c r="C193" s="1" t="s">
        <v>19</v>
      </c>
      <c r="D193" s="1">
        <v>30500010912</v>
      </c>
      <c r="E193" s="1" t="s">
        <v>20</v>
      </c>
      <c r="F193" s="1" t="s">
        <v>767</v>
      </c>
      <c r="G193" s="1" t="s">
        <v>53</v>
      </c>
      <c r="H193" s="1" t="s">
        <v>54</v>
      </c>
      <c r="I193" s="1" t="s">
        <v>772</v>
      </c>
      <c r="J193" s="2">
        <v>21</v>
      </c>
      <c r="K193" s="12">
        <v>317.48</v>
      </c>
      <c r="L193" s="2">
        <v>262.38</v>
      </c>
      <c r="M193" s="2">
        <v>0</v>
      </c>
      <c r="N193" s="12">
        <v>55.1</v>
      </c>
      <c r="O193" s="2">
        <v>0</v>
      </c>
      <c r="P193" s="2">
        <v>0</v>
      </c>
      <c r="Q193" s="2">
        <v>0</v>
      </c>
      <c r="R193" s="2">
        <v>0</v>
      </c>
      <c r="S193" s="8" t="s">
        <v>1012</v>
      </c>
      <c r="T193" s="14" t="s">
        <v>328</v>
      </c>
      <c r="U193" s="10" t="s">
        <v>328</v>
      </c>
      <c r="V193" s="10" t="s">
        <v>328</v>
      </c>
      <c r="W193" s="1" t="s">
        <v>328</v>
      </c>
    </row>
    <row r="194" spans="1:23" x14ac:dyDescent="0.25">
      <c r="A194" s="1" t="s">
        <v>147</v>
      </c>
      <c r="B194" s="1" t="s">
        <v>745</v>
      </c>
      <c r="C194" s="1" t="s">
        <v>19</v>
      </c>
      <c r="D194" s="1">
        <v>30500010084</v>
      </c>
      <c r="E194" s="1" t="s">
        <v>20</v>
      </c>
      <c r="F194" s="1" t="s">
        <v>767</v>
      </c>
      <c r="G194" s="1" t="s">
        <v>53</v>
      </c>
      <c r="H194" s="1" t="s">
        <v>54</v>
      </c>
      <c r="I194" s="1" t="s">
        <v>773</v>
      </c>
      <c r="J194" s="2">
        <v>21</v>
      </c>
      <c r="K194" s="12">
        <v>9341.26</v>
      </c>
      <c r="L194" s="2">
        <v>7720.05</v>
      </c>
      <c r="M194" s="2">
        <v>0</v>
      </c>
      <c r="N194" s="12">
        <v>1621.21</v>
      </c>
      <c r="O194" s="2">
        <v>0</v>
      </c>
      <c r="P194" s="2">
        <v>0</v>
      </c>
      <c r="Q194" s="2">
        <v>0</v>
      </c>
      <c r="R194" s="2">
        <v>0</v>
      </c>
      <c r="S194" s="8" t="s">
        <v>1013</v>
      </c>
      <c r="T194" s="14" t="s">
        <v>328</v>
      </c>
      <c r="U194" s="10" t="s">
        <v>328</v>
      </c>
      <c r="V194" s="10" t="s">
        <v>328</v>
      </c>
      <c r="W194" s="1" t="s">
        <v>328</v>
      </c>
    </row>
    <row r="195" spans="1:23" x14ac:dyDescent="0.25">
      <c r="A195" s="1" t="s">
        <v>147</v>
      </c>
      <c r="B195" s="1" t="s">
        <v>745</v>
      </c>
      <c r="C195" s="1" t="s">
        <v>19</v>
      </c>
      <c r="D195" s="1">
        <v>30500010084</v>
      </c>
      <c r="E195" s="1" t="s">
        <v>20</v>
      </c>
      <c r="F195" s="1" t="s">
        <v>767</v>
      </c>
      <c r="G195" s="1" t="s">
        <v>53</v>
      </c>
      <c r="H195" s="1" t="s">
        <v>54</v>
      </c>
      <c r="I195" s="1" t="s">
        <v>773</v>
      </c>
      <c r="J195" s="2">
        <v>10.5</v>
      </c>
      <c r="K195" s="12">
        <v>15287.01</v>
      </c>
      <c r="L195" s="2">
        <v>13834.4</v>
      </c>
      <c r="M195" s="2">
        <v>0</v>
      </c>
      <c r="N195" s="12">
        <v>1452.61</v>
      </c>
      <c r="O195" s="2">
        <v>0</v>
      </c>
      <c r="P195" s="2">
        <v>0</v>
      </c>
      <c r="Q195" s="2">
        <v>0</v>
      </c>
      <c r="R195" s="2">
        <v>0</v>
      </c>
      <c r="S195" s="8" t="s">
        <v>1013</v>
      </c>
      <c r="T195" s="14" t="s">
        <v>328</v>
      </c>
      <c r="U195" s="10" t="s">
        <v>328</v>
      </c>
      <c r="V195" s="10" t="s">
        <v>328</v>
      </c>
      <c r="W195" s="1" t="s">
        <v>328</v>
      </c>
    </row>
    <row r="196" spans="1:23" x14ac:dyDescent="0.25">
      <c r="A196" s="1" t="s">
        <v>147</v>
      </c>
      <c r="B196" s="1" t="s">
        <v>745</v>
      </c>
      <c r="C196" s="1" t="s">
        <v>19</v>
      </c>
      <c r="D196" s="1">
        <v>30500010084</v>
      </c>
      <c r="E196" s="1" t="s">
        <v>20</v>
      </c>
      <c r="F196" s="1" t="s">
        <v>767</v>
      </c>
      <c r="G196" s="1" t="s">
        <v>53</v>
      </c>
      <c r="H196" s="1" t="s">
        <v>54</v>
      </c>
      <c r="I196" s="1" t="s">
        <v>774</v>
      </c>
      <c r="J196" s="2">
        <v>21</v>
      </c>
      <c r="K196" s="12">
        <v>2566.79</v>
      </c>
      <c r="L196" s="2">
        <v>2121.31</v>
      </c>
      <c r="M196" s="2">
        <v>0</v>
      </c>
      <c r="N196" s="12">
        <v>445.48</v>
      </c>
      <c r="O196" s="2">
        <v>0</v>
      </c>
      <c r="P196" s="2">
        <v>0</v>
      </c>
      <c r="Q196" s="2">
        <v>0</v>
      </c>
      <c r="R196" s="2">
        <v>0</v>
      </c>
      <c r="S196" s="8" t="s">
        <v>1014</v>
      </c>
      <c r="T196" s="14" t="s">
        <v>328</v>
      </c>
      <c r="U196" s="10" t="s">
        <v>328</v>
      </c>
      <c r="V196" s="10" t="s">
        <v>328</v>
      </c>
      <c r="W196" s="1" t="s">
        <v>328</v>
      </c>
    </row>
    <row r="197" spans="1:23" x14ac:dyDescent="0.25">
      <c r="A197" s="1" t="s">
        <v>150</v>
      </c>
      <c r="B197" s="1" t="s">
        <v>151</v>
      </c>
      <c r="C197" s="1" t="s">
        <v>19</v>
      </c>
      <c r="D197" s="1">
        <v>30500010912</v>
      </c>
      <c r="E197" s="1" t="s">
        <v>20</v>
      </c>
      <c r="F197" s="1" t="s">
        <v>767</v>
      </c>
      <c r="G197" s="1" t="s">
        <v>53</v>
      </c>
      <c r="H197" s="1" t="s">
        <v>54</v>
      </c>
      <c r="I197" s="1" t="s">
        <v>775</v>
      </c>
      <c r="J197" s="2">
        <v>21</v>
      </c>
      <c r="K197" s="12">
        <v>4399.22</v>
      </c>
      <c r="L197" s="2">
        <v>3635.72</v>
      </c>
      <c r="M197" s="2">
        <v>0</v>
      </c>
      <c r="N197" s="12">
        <v>763.5</v>
      </c>
      <c r="O197" s="2">
        <v>0</v>
      </c>
      <c r="P197" s="2">
        <v>0</v>
      </c>
      <c r="Q197" s="2">
        <v>0</v>
      </c>
      <c r="R197" s="2">
        <v>0</v>
      </c>
      <c r="S197" s="8" t="s">
        <v>1015</v>
      </c>
      <c r="T197" s="14" t="s">
        <v>328</v>
      </c>
      <c r="U197" s="10" t="s">
        <v>328</v>
      </c>
      <c r="V197" s="10" t="s">
        <v>328</v>
      </c>
      <c r="W197" s="1" t="s">
        <v>328</v>
      </c>
    </row>
    <row r="198" spans="1:23" x14ac:dyDescent="0.25">
      <c r="A198" s="1" t="s">
        <v>150</v>
      </c>
      <c r="B198" s="1" t="s">
        <v>151</v>
      </c>
      <c r="C198" s="1" t="s">
        <v>19</v>
      </c>
      <c r="D198" s="1">
        <v>30500010912</v>
      </c>
      <c r="E198" s="1" t="s">
        <v>20</v>
      </c>
      <c r="F198" s="1" t="s">
        <v>767</v>
      </c>
      <c r="G198" s="1" t="s">
        <v>53</v>
      </c>
      <c r="H198" s="1" t="s">
        <v>54</v>
      </c>
      <c r="I198" s="1" t="s">
        <v>775</v>
      </c>
      <c r="J198" s="2">
        <v>10.5</v>
      </c>
      <c r="K198" s="12">
        <v>18837.490000000002</v>
      </c>
      <c r="L198" s="2">
        <v>17047.5</v>
      </c>
      <c r="M198" s="2">
        <v>0</v>
      </c>
      <c r="N198" s="12">
        <v>1789.99</v>
      </c>
      <c r="O198" s="2">
        <v>0</v>
      </c>
      <c r="P198" s="2">
        <v>0</v>
      </c>
      <c r="Q198" s="2">
        <v>0</v>
      </c>
      <c r="R198" s="2">
        <v>0</v>
      </c>
      <c r="S198" s="8" t="s">
        <v>1015</v>
      </c>
      <c r="T198" s="14" t="s">
        <v>328</v>
      </c>
      <c r="U198" s="10" t="s">
        <v>328</v>
      </c>
      <c r="V198" s="10" t="s">
        <v>328</v>
      </c>
      <c r="W198" s="1" t="s">
        <v>328</v>
      </c>
    </row>
    <row r="199" spans="1:23" x14ac:dyDescent="0.25">
      <c r="A199" s="1" t="s">
        <v>150</v>
      </c>
      <c r="B199" s="1" t="s">
        <v>151</v>
      </c>
      <c r="C199" s="1" t="s">
        <v>19</v>
      </c>
      <c r="D199" s="1">
        <v>30500010912</v>
      </c>
      <c r="E199" s="1" t="s">
        <v>20</v>
      </c>
      <c r="F199" s="1" t="s">
        <v>767</v>
      </c>
      <c r="G199" s="1" t="s">
        <v>53</v>
      </c>
      <c r="H199" s="1" t="s">
        <v>54</v>
      </c>
      <c r="I199" s="1" t="s">
        <v>776</v>
      </c>
      <c r="J199" s="2">
        <v>21</v>
      </c>
      <c r="K199" s="12">
        <v>3189.09</v>
      </c>
      <c r="L199" s="2">
        <v>2635.61</v>
      </c>
      <c r="M199" s="2">
        <v>0</v>
      </c>
      <c r="N199" s="12">
        <v>553.48</v>
      </c>
      <c r="O199" s="2">
        <v>0</v>
      </c>
      <c r="P199" s="2">
        <v>0</v>
      </c>
      <c r="Q199" s="2">
        <v>0</v>
      </c>
      <c r="R199" s="2">
        <v>0</v>
      </c>
      <c r="S199" s="8" t="s">
        <v>1016</v>
      </c>
      <c r="T199" s="14" t="s">
        <v>328</v>
      </c>
      <c r="U199" s="10" t="s">
        <v>328</v>
      </c>
      <c r="V199" s="10" t="s">
        <v>328</v>
      </c>
      <c r="W199" s="1" t="s">
        <v>328</v>
      </c>
    </row>
    <row r="200" spans="1:23" x14ac:dyDescent="0.25">
      <c r="A200" s="1" t="s">
        <v>150</v>
      </c>
      <c r="B200" s="1" t="s">
        <v>151</v>
      </c>
      <c r="C200" s="1" t="s">
        <v>19</v>
      </c>
      <c r="D200" s="1">
        <v>30500010912</v>
      </c>
      <c r="E200" s="1" t="s">
        <v>20</v>
      </c>
      <c r="F200" s="1" t="s">
        <v>767</v>
      </c>
      <c r="G200" s="1" t="s">
        <v>53</v>
      </c>
      <c r="H200" s="1" t="s">
        <v>54</v>
      </c>
      <c r="I200" s="1" t="s">
        <v>776</v>
      </c>
      <c r="J200" s="2">
        <v>10.5</v>
      </c>
      <c r="K200" s="12">
        <v>13655.69</v>
      </c>
      <c r="L200" s="2">
        <v>12358.09</v>
      </c>
      <c r="M200" s="2">
        <v>0</v>
      </c>
      <c r="N200" s="12">
        <v>1297.5999999999999</v>
      </c>
      <c r="O200" s="2">
        <v>0</v>
      </c>
      <c r="P200" s="2">
        <v>0</v>
      </c>
      <c r="Q200" s="2">
        <v>0</v>
      </c>
      <c r="R200" s="2">
        <v>0</v>
      </c>
      <c r="S200" s="8" t="s">
        <v>1016</v>
      </c>
      <c r="T200" s="14" t="s">
        <v>328</v>
      </c>
      <c r="U200" s="10" t="s">
        <v>328</v>
      </c>
      <c r="V200" s="10" t="s">
        <v>328</v>
      </c>
      <c r="W200" s="1" t="s">
        <v>328</v>
      </c>
    </row>
    <row r="201" spans="1:23" x14ac:dyDescent="0.25">
      <c r="A201" s="1" t="s">
        <v>64</v>
      </c>
      <c r="B201" s="1" t="s">
        <v>65</v>
      </c>
      <c r="C201" s="1" t="s">
        <v>19</v>
      </c>
      <c r="D201" s="1">
        <v>30500008454</v>
      </c>
      <c r="E201" s="1" t="s">
        <v>20</v>
      </c>
      <c r="F201" s="1" t="s">
        <v>767</v>
      </c>
      <c r="G201" s="1" t="s">
        <v>53</v>
      </c>
      <c r="H201" s="1" t="s">
        <v>54</v>
      </c>
      <c r="I201" s="1" t="s">
        <v>777</v>
      </c>
      <c r="J201" s="2">
        <v>21</v>
      </c>
      <c r="K201" s="12">
        <v>1971.45</v>
      </c>
      <c r="L201" s="2">
        <v>1629.3</v>
      </c>
      <c r="M201" s="2">
        <v>0</v>
      </c>
      <c r="N201" s="12">
        <v>342.15</v>
      </c>
      <c r="O201" s="2">
        <v>0</v>
      </c>
      <c r="P201" s="2">
        <v>0</v>
      </c>
      <c r="Q201" s="2">
        <v>0</v>
      </c>
      <c r="R201" s="2">
        <v>0</v>
      </c>
      <c r="S201" s="8" t="s">
        <v>1017</v>
      </c>
      <c r="T201" s="14" t="s">
        <v>328</v>
      </c>
      <c r="U201" s="10" t="s">
        <v>328</v>
      </c>
      <c r="V201" s="10" t="s">
        <v>328</v>
      </c>
      <c r="W201" s="1" t="s">
        <v>328</v>
      </c>
    </row>
    <row r="202" spans="1:23" x14ac:dyDescent="0.25">
      <c r="A202" s="1" t="s">
        <v>64</v>
      </c>
      <c r="B202" s="1" t="s">
        <v>65</v>
      </c>
      <c r="C202" s="1" t="s">
        <v>19</v>
      </c>
      <c r="D202" s="1">
        <v>30500008454</v>
      </c>
      <c r="E202" s="1" t="s">
        <v>20</v>
      </c>
      <c r="F202" s="1" t="s">
        <v>767</v>
      </c>
      <c r="G202" s="1" t="s">
        <v>53</v>
      </c>
      <c r="H202" s="1" t="s">
        <v>54</v>
      </c>
      <c r="I202" s="1" t="s">
        <v>778</v>
      </c>
      <c r="J202" s="2">
        <v>21</v>
      </c>
      <c r="K202" s="12">
        <v>111.97</v>
      </c>
      <c r="L202" s="2">
        <v>92.54</v>
      </c>
      <c r="M202" s="2">
        <v>0</v>
      </c>
      <c r="N202" s="12">
        <v>19.43</v>
      </c>
      <c r="O202" s="2">
        <v>0</v>
      </c>
      <c r="P202" s="2">
        <v>0</v>
      </c>
      <c r="Q202" s="2">
        <v>0</v>
      </c>
      <c r="R202" s="2">
        <v>0</v>
      </c>
      <c r="S202" s="8" t="s">
        <v>1018</v>
      </c>
      <c r="T202" s="14" t="s">
        <v>328</v>
      </c>
      <c r="U202" s="10" t="s">
        <v>328</v>
      </c>
      <c r="V202" s="10" t="s">
        <v>328</v>
      </c>
      <c r="W202" s="1" t="s">
        <v>328</v>
      </c>
    </row>
    <row r="203" spans="1:23" x14ac:dyDescent="0.25">
      <c r="A203" s="1" t="s">
        <v>651</v>
      </c>
      <c r="B203" s="1" t="s">
        <v>652</v>
      </c>
      <c r="C203" s="1" t="s">
        <v>19</v>
      </c>
      <c r="D203" s="1">
        <v>27139111589</v>
      </c>
      <c r="E203" s="1" t="s">
        <v>20</v>
      </c>
      <c r="F203" s="1" t="s">
        <v>767</v>
      </c>
      <c r="G203" s="1" t="s">
        <v>53</v>
      </c>
      <c r="H203" s="1" t="s">
        <v>54</v>
      </c>
      <c r="I203" s="1" t="s">
        <v>786</v>
      </c>
      <c r="J203" s="2">
        <v>21</v>
      </c>
      <c r="K203" s="12">
        <v>38500</v>
      </c>
      <c r="L203" s="2">
        <v>31818.18</v>
      </c>
      <c r="M203" s="2">
        <v>0</v>
      </c>
      <c r="N203" s="12">
        <v>6681.82</v>
      </c>
      <c r="O203" s="2">
        <v>0</v>
      </c>
      <c r="P203" s="2">
        <v>0</v>
      </c>
      <c r="Q203" s="2">
        <v>0</v>
      </c>
      <c r="R203" s="2">
        <v>0</v>
      </c>
      <c r="S203" s="8" t="s">
        <v>1019</v>
      </c>
      <c r="T203" s="14" t="s">
        <v>328</v>
      </c>
      <c r="U203" s="10" t="s">
        <v>328</v>
      </c>
      <c r="V203" s="10" t="s">
        <v>328</v>
      </c>
      <c r="W203" s="1" t="s">
        <v>328</v>
      </c>
    </row>
    <row r="204" spans="1:23" x14ac:dyDescent="0.25">
      <c r="A204" s="1" t="s">
        <v>147</v>
      </c>
      <c r="B204" s="1" t="s">
        <v>745</v>
      </c>
      <c r="C204" s="1" t="s">
        <v>19</v>
      </c>
      <c r="D204" s="1">
        <v>30500010084</v>
      </c>
      <c r="E204" s="1" t="s">
        <v>20</v>
      </c>
      <c r="F204" s="1" t="s">
        <v>767</v>
      </c>
      <c r="G204" s="1" t="s">
        <v>53</v>
      </c>
      <c r="H204" s="1" t="s">
        <v>54</v>
      </c>
      <c r="I204" s="1" t="s">
        <v>789</v>
      </c>
      <c r="J204" s="2">
        <v>21</v>
      </c>
      <c r="K204" s="12">
        <v>163415.54999999999</v>
      </c>
      <c r="L204" s="2">
        <v>135054.17000000001</v>
      </c>
      <c r="M204" s="2">
        <v>0</v>
      </c>
      <c r="N204" s="12">
        <v>28361.38</v>
      </c>
      <c r="O204" s="2">
        <v>0</v>
      </c>
      <c r="P204" s="2">
        <v>0</v>
      </c>
      <c r="Q204" s="2">
        <v>0</v>
      </c>
      <c r="R204" s="2">
        <v>0</v>
      </c>
      <c r="S204" s="8" t="s">
        <v>1020</v>
      </c>
      <c r="T204" s="14" t="s">
        <v>328</v>
      </c>
      <c r="U204" s="10" t="s">
        <v>328</v>
      </c>
      <c r="V204" s="10" t="s">
        <v>328</v>
      </c>
      <c r="W204" s="1" t="s">
        <v>328</v>
      </c>
    </row>
    <row r="205" spans="1:23" x14ac:dyDescent="0.25">
      <c r="A205" s="1" t="s">
        <v>147</v>
      </c>
      <c r="B205" s="1" t="s">
        <v>745</v>
      </c>
      <c r="C205" s="1" t="s">
        <v>19</v>
      </c>
      <c r="D205" s="1">
        <v>30500010084</v>
      </c>
      <c r="E205" s="1" t="s">
        <v>20</v>
      </c>
      <c r="F205" s="1" t="s">
        <v>767</v>
      </c>
      <c r="G205" s="1" t="s">
        <v>53</v>
      </c>
      <c r="H205" s="1" t="s">
        <v>54</v>
      </c>
      <c r="I205" s="1" t="s">
        <v>789</v>
      </c>
      <c r="J205" s="2">
        <v>10.5</v>
      </c>
      <c r="K205" s="12">
        <v>696576.99</v>
      </c>
      <c r="L205" s="2">
        <v>630386.42000000004</v>
      </c>
      <c r="M205" s="2">
        <v>0</v>
      </c>
      <c r="N205" s="12">
        <v>66190.570000000007</v>
      </c>
      <c r="O205" s="2">
        <v>0</v>
      </c>
      <c r="P205" s="2">
        <v>0</v>
      </c>
      <c r="Q205" s="2">
        <v>0</v>
      </c>
      <c r="R205" s="2">
        <v>0</v>
      </c>
      <c r="S205" s="8" t="s">
        <v>1020</v>
      </c>
      <c r="T205" s="14" t="s">
        <v>328</v>
      </c>
      <c r="U205" s="10" t="s">
        <v>328</v>
      </c>
      <c r="V205" s="10" t="s">
        <v>328</v>
      </c>
      <c r="W205" s="1" t="s">
        <v>328</v>
      </c>
    </row>
    <row r="206" spans="1:23" x14ac:dyDescent="0.25">
      <c r="A206" s="1" t="s">
        <v>147</v>
      </c>
      <c r="B206" s="1" t="s">
        <v>745</v>
      </c>
      <c r="C206" s="1" t="s">
        <v>19</v>
      </c>
      <c r="D206" s="1">
        <v>30500010084</v>
      </c>
      <c r="E206" s="1" t="s">
        <v>20</v>
      </c>
      <c r="F206" s="1" t="s">
        <v>767</v>
      </c>
      <c r="G206" s="1" t="s">
        <v>53</v>
      </c>
      <c r="H206" s="1" t="s">
        <v>54</v>
      </c>
      <c r="I206" s="1" t="s">
        <v>796</v>
      </c>
      <c r="J206" s="2">
        <v>21</v>
      </c>
      <c r="K206" s="12">
        <v>829974.74</v>
      </c>
      <c r="L206" s="2">
        <v>685929.54</v>
      </c>
      <c r="M206" s="2">
        <v>0</v>
      </c>
      <c r="N206" s="12">
        <v>144045.20000000001</v>
      </c>
      <c r="O206" s="2">
        <v>0</v>
      </c>
      <c r="P206" s="2">
        <v>0</v>
      </c>
      <c r="Q206" s="2">
        <v>0</v>
      </c>
      <c r="R206" s="2">
        <v>0</v>
      </c>
      <c r="S206" s="8" t="s">
        <v>1021</v>
      </c>
      <c r="T206" s="14" t="s">
        <v>328</v>
      </c>
      <c r="U206" s="10" t="s">
        <v>328</v>
      </c>
      <c r="V206" s="10" t="s">
        <v>328</v>
      </c>
      <c r="W206" s="1" t="s">
        <v>328</v>
      </c>
    </row>
    <row r="207" spans="1:23" x14ac:dyDescent="0.25">
      <c r="A207" s="1" t="s">
        <v>147</v>
      </c>
      <c r="B207" s="1" t="s">
        <v>745</v>
      </c>
      <c r="C207" s="1" t="s">
        <v>19</v>
      </c>
      <c r="D207" s="1">
        <v>30500010084</v>
      </c>
      <c r="E207" s="1" t="s">
        <v>20</v>
      </c>
      <c r="F207" s="1" t="s">
        <v>767</v>
      </c>
      <c r="G207" s="1" t="s">
        <v>53</v>
      </c>
      <c r="H207" s="1" t="s">
        <v>54</v>
      </c>
      <c r="I207" s="1" t="s">
        <v>797</v>
      </c>
      <c r="J207" s="2">
        <v>21</v>
      </c>
      <c r="K207" s="12">
        <v>110150.37</v>
      </c>
      <c r="L207" s="2">
        <v>91033.36</v>
      </c>
      <c r="M207" s="2">
        <v>0</v>
      </c>
      <c r="N207" s="12">
        <v>19117.009999999998</v>
      </c>
      <c r="O207" s="2">
        <v>0</v>
      </c>
      <c r="P207" s="2">
        <v>0</v>
      </c>
      <c r="Q207" s="2">
        <v>0</v>
      </c>
      <c r="R207" s="2">
        <v>0</v>
      </c>
      <c r="S207" s="8" t="s">
        <v>1022</v>
      </c>
      <c r="T207" s="14" t="s">
        <v>328</v>
      </c>
      <c r="U207" s="10" t="s">
        <v>328</v>
      </c>
      <c r="V207" s="10" t="s">
        <v>328</v>
      </c>
      <c r="W207" s="1" t="s">
        <v>328</v>
      </c>
    </row>
    <row r="208" spans="1:23" x14ac:dyDescent="0.25">
      <c r="A208" s="1" t="s">
        <v>807</v>
      </c>
      <c r="B208" s="1" t="s">
        <v>808</v>
      </c>
      <c r="C208" s="1" t="s">
        <v>19</v>
      </c>
      <c r="D208" s="1">
        <v>30714587753</v>
      </c>
      <c r="E208" s="1" t="s">
        <v>20</v>
      </c>
      <c r="F208" s="1" t="s">
        <v>800</v>
      </c>
      <c r="G208" s="1" t="s">
        <v>53</v>
      </c>
      <c r="H208" s="1" t="s">
        <v>54</v>
      </c>
      <c r="I208" s="1" t="s">
        <v>809</v>
      </c>
      <c r="J208" s="2">
        <v>21</v>
      </c>
      <c r="K208" s="12">
        <v>99540.01</v>
      </c>
      <c r="L208" s="2">
        <v>82264.47</v>
      </c>
      <c r="M208" s="2">
        <v>0</v>
      </c>
      <c r="N208" s="12">
        <v>17275.54</v>
      </c>
      <c r="O208" s="2">
        <v>0</v>
      </c>
      <c r="P208" s="2">
        <v>0</v>
      </c>
      <c r="Q208" s="2">
        <v>0</v>
      </c>
      <c r="R208" s="2">
        <v>0</v>
      </c>
      <c r="S208" s="8" t="s">
        <v>1023</v>
      </c>
      <c r="T208" s="14" t="s">
        <v>328</v>
      </c>
      <c r="U208" s="10" t="s">
        <v>328</v>
      </c>
      <c r="V208" s="10" t="s">
        <v>328</v>
      </c>
      <c r="W208" s="1" t="s">
        <v>328</v>
      </c>
    </row>
    <row r="209" spans="1:23" x14ac:dyDescent="0.25">
      <c r="A209" s="1" t="s">
        <v>123</v>
      </c>
      <c r="B209" s="1" t="s">
        <v>124</v>
      </c>
      <c r="C209" s="1" t="s">
        <v>19</v>
      </c>
      <c r="D209" s="1">
        <v>30999027489</v>
      </c>
      <c r="E209" s="1" t="s">
        <v>20</v>
      </c>
      <c r="F209" s="1" t="s">
        <v>800</v>
      </c>
      <c r="G209" s="1" t="s">
        <v>53</v>
      </c>
      <c r="H209" s="1" t="s">
        <v>54</v>
      </c>
      <c r="I209" s="1" t="s">
        <v>1181</v>
      </c>
      <c r="J209" s="2">
        <v>27</v>
      </c>
      <c r="K209" s="12">
        <v>225374.77</v>
      </c>
      <c r="L209" s="2">
        <v>177460.45</v>
      </c>
      <c r="M209" s="2">
        <v>0</v>
      </c>
      <c r="N209" s="12">
        <v>47914.32</v>
      </c>
      <c r="O209" s="2">
        <v>0</v>
      </c>
      <c r="P209" s="2">
        <v>0</v>
      </c>
      <c r="Q209" s="2">
        <v>0</v>
      </c>
      <c r="R209" s="2">
        <v>0</v>
      </c>
      <c r="S209" s="8" t="s">
        <v>1251</v>
      </c>
      <c r="T209" s="14" t="s">
        <v>328</v>
      </c>
      <c r="U209" s="10" t="s">
        <v>328</v>
      </c>
      <c r="V209" s="10" t="s">
        <v>328</v>
      </c>
      <c r="W209" s="1" t="s">
        <v>328</v>
      </c>
    </row>
    <row r="210" spans="1:23" x14ac:dyDescent="0.25">
      <c r="A210" s="1" t="s">
        <v>123</v>
      </c>
      <c r="B210" s="1" t="s">
        <v>124</v>
      </c>
      <c r="C210" s="1" t="s">
        <v>19</v>
      </c>
      <c r="D210" s="1">
        <v>30999027489</v>
      </c>
      <c r="E210" s="1" t="s">
        <v>20</v>
      </c>
      <c r="F210" s="1" t="s">
        <v>800</v>
      </c>
      <c r="G210" s="1" t="s">
        <v>53</v>
      </c>
      <c r="H210" s="1" t="s">
        <v>54</v>
      </c>
      <c r="I210" s="1" t="s">
        <v>1181</v>
      </c>
      <c r="J210" s="2">
        <v>0</v>
      </c>
      <c r="K210" s="12">
        <v>66805.03</v>
      </c>
      <c r="L210" s="2">
        <v>0</v>
      </c>
      <c r="M210" s="2">
        <v>66805.03</v>
      </c>
      <c r="N210" s="12">
        <v>0</v>
      </c>
      <c r="O210" s="2">
        <v>0</v>
      </c>
      <c r="P210" s="2">
        <v>0</v>
      </c>
      <c r="Q210" s="2">
        <v>0</v>
      </c>
      <c r="R210" s="2">
        <v>0</v>
      </c>
      <c r="S210" s="8" t="s">
        <v>1251</v>
      </c>
      <c r="T210" s="14" t="s">
        <v>328</v>
      </c>
      <c r="U210" s="10" t="s">
        <v>328</v>
      </c>
      <c r="V210" s="10" t="s">
        <v>328</v>
      </c>
      <c r="W210" s="1" t="s">
        <v>328</v>
      </c>
    </row>
    <row r="211" spans="1:23" x14ac:dyDescent="0.25">
      <c r="A211" s="1" t="s">
        <v>123</v>
      </c>
      <c r="B211" s="1" t="s">
        <v>124</v>
      </c>
      <c r="C211" s="1" t="s">
        <v>19</v>
      </c>
      <c r="D211" s="1">
        <v>30999027489</v>
      </c>
      <c r="E211" s="1" t="s">
        <v>20</v>
      </c>
      <c r="F211" s="1" t="s">
        <v>800</v>
      </c>
      <c r="G211" s="1" t="s">
        <v>53</v>
      </c>
      <c r="H211" s="1" t="s">
        <v>54</v>
      </c>
      <c r="I211" s="1" t="s">
        <v>1182</v>
      </c>
      <c r="J211" s="2">
        <v>27</v>
      </c>
      <c r="K211" s="12">
        <v>219810.57</v>
      </c>
      <c r="L211" s="2">
        <v>173079.19</v>
      </c>
      <c r="M211" s="2">
        <v>0</v>
      </c>
      <c r="N211" s="12">
        <v>46731.38</v>
      </c>
      <c r="O211" s="2">
        <v>0</v>
      </c>
      <c r="P211" s="2">
        <v>0</v>
      </c>
      <c r="Q211" s="2">
        <v>0</v>
      </c>
      <c r="R211" s="2">
        <v>0</v>
      </c>
      <c r="S211" s="8" t="s">
        <v>1252</v>
      </c>
      <c r="T211" s="14" t="s">
        <v>328</v>
      </c>
      <c r="U211" s="10" t="s">
        <v>328</v>
      </c>
      <c r="V211" s="10" t="s">
        <v>328</v>
      </c>
      <c r="W211" s="1" t="s">
        <v>328</v>
      </c>
    </row>
    <row r="212" spans="1:23" x14ac:dyDescent="0.25">
      <c r="A212" s="1" t="s">
        <v>123</v>
      </c>
      <c r="B212" s="1" t="s">
        <v>124</v>
      </c>
      <c r="C212" s="1" t="s">
        <v>19</v>
      </c>
      <c r="D212" s="1">
        <v>30999027489</v>
      </c>
      <c r="E212" s="1" t="s">
        <v>20</v>
      </c>
      <c r="F212" s="1" t="s">
        <v>800</v>
      </c>
      <c r="G212" s="1" t="s">
        <v>53</v>
      </c>
      <c r="H212" s="1" t="s">
        <v>54</v>
      </c>
      <c r="I212" s="1" t="s">
        <v>1182</v>
      </c>
      <c r="J212" s="2">
        <v>0</v>
      </c>
      <c r="K212" s="12">
        <v>65155.63</v>
      </c>
      <c r="L212" s="2">
        <v>0</v>
      </c>
      <c r="M212" s="2">
        <v>65155.63</v>
      </c>
      <c r="N212" s="12">
        <v>0</v>
      </c>
      <c r="O212" s="2">
        <v>0</v>
      </c>
      <c r="P212" s="2">
        <v>0</v>
      </c>
      <c r="Q212" s="2">
        <v>0</v>
      </c>
      <c r="R212" s="2">
        <v>0</v>
      </c>
      <c r="S212" s="8" t="s">
        <v>1252</v>
      </c>
      <c r="T212" s="14" t="s">
        <v>328</v>
      </c>
      <c r="U212" s="10" t="s">
        <v>328</v>
      </c>
      <c r="V212" s="10" t="s">
        <v>328</v>
      </c>
      <c r="W212" s="1" t="s">
        <v>328</v>
      </c>
    </row>
    <row r="213" spans="1:23" x14ac:dyDescent="0.25">
      <c r="A213" s="1" t="s">
        <v>33</v>
      </c>
      <c r="B213" s="1" t="s">
        <v>34</v>
      </c>
      <c r="C213" s="1" t="s">
        <v>19</v>
      </c>
      <c r="D213" s="1">
        <v>33708336969</v>
      </c>
      <c r="E213" s="1" t="s">
        <v>20</v>
      </c>
      <c r="F213" s="1" t="s">
        <v>822</v>
      </c>
      <c r="G213" s="1" t="s">
        <v>53</v>
      </c>
      <c r="H213" s="1" t="s">
        <v>54</v>
      </c>
      <c r="I213" s="1" t="s">
        <v>837</v>
      </c>
      <c r="J213" s="2">
        <v>21</v>
      </c>
      <c r="K213" s="12">
        <v>9000</v>
      </c>
      <c r="L213" s="2">
        <v>7438.02</v>
      </c>
      <c r="M213" s="2">
        <v>0</v>
      </c>
      <c r="N213" s="12">
        <v>1561.98</v>
      </c>
      <c r="O213" s="2">
        <v>0</v>
      </c>
      <c r="P213" s="2">
        <v>0</v>
      </c>
      <c r="Q213" s="2">
        <v>0</v>
      </c>
      <c r="R213" s="2">
        <v>0</v>
      </c>
      <c r="S213" s="8" t="s">
        <v>1024</v>
      </c>
      <c r="T213" s="14" t="s">
        <v>328</v>
      </c>
      <c r="U213" s="10" t="s">
        <v>328</v>
      </c>
      <c r="V213" s="10" t="s">
        <v>328</v>
      </c>
      <c r="W213" s="1" t="s">
        <v>328</v>
      </c>
    </row>
    <row r="214" spans="1:23" x14ac:dyDescent="0.25">
      <c r="A214" s="1" t="s">
        <v>33</v>
      </c>
      <c r="B214" s="1" t="s">
        <v>34</v>
      </c>
      <c r="C214" s="1" t="s">
        <v>19</v>
      </c>
      <c r="D214" s="1">
        <v>33708336969</v>
      </c>
      <c r="E214" s="1" t="s">
        <v>20</v>
      </c>
      <c r="F214" s="1" t="s">
        <v>841</v>
      </c>
      <c r="G214" s="1" t="s">
        <v>53</v>
      </c>
      <c r="H214" s="1" t="s">
        <v>54</v>
      </c>
      <c r="I214" s="1" t="s">
        <v>1187</v>
      </c>
      <c r="J214" s="2">
        <v>21</v>
      </c>
      <c r="K214" s="12">
        <v>8000</v>
      </c>
      <c r="L214" s="2">
        <v>6611.57</v>
      </c>
      <c r="M214" s="2">
        <v>0</v>
      </c>
      <c r="N214" s="12">
        <v>1388.43</v>
      </c>
      <c r="O214" s="2">
        <v>0</v>
      </c>
      <c r="P214" s="2">
        <v>0</v>
      </c>
      <c r="Q214" s="2">
        <v>0</v>
      </c>
      <c r="R214" s="2">
        <v>0</v>
      </c>
      <c r="S214" s="8" t="s">
        <v>1253</v>
      </c>
      <c r="T214" s="14" t="s">
        <v>328</v>
      </c>
      <c r="U214" s="10" t="s">
        <v>328</v>
      </c>
      <c r="V214" s="10" t="s">
        <v>328</v>
      </c>
      <c r="W214" s="1" t="s">
        <v>328</v>
      </c>
    </row>
    <row r="215" spans="1:23" x14ac:dyDescent="0.25">
      <c r="A215" s="1" t="s">
        <v>859</v>
      </c>
      <c r="B215" s="1" t="s">
        <v>860</v>
      </c>
      <c r="C215" s="1" t="s">
        <v>19</v>
      </c>
      <c r="D215" s="1">
        <v>20366558730</v>
      </c>
      <c r="E215" s="1" t="s">
        <v>20</v>
      </c>
      <c r="F215" s="1" t="s">
        <v>861</v>
      </c>
      <c r="G215" s="1" t="s">
        <v>53</v>
      </c>
      <c r="H215" s="1" t="s">
        <v>54</v>
      </c>
      <c r="I215" s="1" t="s">
        <v>862</v>
      </c>
      <c r="J215" s="2">
        <v>21</v>
      </c>
      <c r="K215" s="12">
        <v>639124</v>
      </c>
      <c r="L215" s="2">
        <v>528201.65</v>
      </c>
      <c r="M215" s="2">
        <v>0</v>
      </c>
      <c r="N215" s="12">
        <v>110922.35</v>
      </c>
      <c r="O215" s="2">
        <v>0</v>
      </c>
      <c r="P215" s="2">
        <v>0</v>
      </c>
      <c r="Q215" s="2">
        <v>0</v>
      </c>
      <c r="R215" s="2">
        <v>0</v>
      </c>
      <c r="S215" s="8" t="s">
        <v>1025</v>
      </c>
      <c r="T215" s="14" t="s">
        <v>328</v>
      </c>
      <c r="U215" s="10" t="s">
        <v>328</v>
      </c>
      <c r="V215" s="10" t="s">
        <v>328</v>
      </c>
      <c r="W215" s="1" t="s">
        <v>328</v>
      </c>
    </row>
    <row r="216" spans="1:23" x14ac:dyDescent="0.25">
      <c r="A216" s="1" t="s">
        <v>807</v>
      </c>
      <c r="B216" s="1" t="s">
        <v>808</v>
      </c>
      <c r="C216" s="1" t="s">
        <v>19</v>
      </c>
      <c r="D216" s="1">
        <v>30714587753</v>
      </c>
      <c r="E216" s="1" t="s">
        <v>20</v>
      </c>
      <c r="F216" s="1" t="s">
        <v>861</v>
      </c>
      <c r="G216" s="1" t="s">
        <v>53</v>
      </c>
      <c r="H216" s="1" t="s">
        <v>54</v>
      </c>
      <c r="I216" s="1" t="s">
        <v>865</v>
      </c>
      <c r="J216" s="2">
        <v>21</v>
      </c>
      <c r="K216" s="12">
        <v>53750</v>
      </c>
      <c r="L216" s="2">
        <v>44421.49</v>
      </c>
      <c r="M216" s="2">
        <v>0</v>
      </c>
      <c r="N216" s="12">
        <v>9328.51</v>
      </c>
      <c r="O216" s="2">
        <v>0</v>
      </c>
      <c r="P216" s="2">
        <v>0</v>
      </c>
      <c r="Q216" s="2">
        <v>0</v>
      </c>
      <c r="R216" s="2">
        <v>0</v>
      </c>
      <c r="S216" s="8" t="s">
        <v>1026</v>
      </c>
      <c r="T216" s="14" t="s">
        <v>328</v>
      </c>
      <c r="U216" s="10" t="s">
        <v>328</v>
      </c>
      <c r="V216" s="10" t="s">
        <v>328</v>
      </c>
      <c r="W216" s="1" t="s">
        <v>328</v>
      </c>
    </row>
    <row r="217" spans="1:23" x14ac:dyDescent="0.25">
      <c r="A217" s="1" t="s">
        <v>866</v>
      </c>
      <c r="B217" s="1" t="s">
        <v>867</v>
      </c>
      <c r="C217" s="1" t="s">
        <v>19</v>
      </c>
      <c r="D217" s="1">
        <v>20145588295</v>
      </c>
      <c r="E217" s="1" t="s">
        <v>20</v>
      </c>
      <c r="F217" s="1" t="s">
        <v>861</v>
      </c>
      <c r="G217" s="1" t="s">
        <v>53</v>
      </c>
      <c r="H217" s="1" t="s">
        <v>54</v>
      </c>
      <c r="I217" s="1" t="s">
        <v>868</v>
      </c>
      <c r="J217" s="2">
        <v>21</v>
      </c>
      <c r="K217" s="12">
        <v>10000</v>
      </c>
      <c r="L217" s="2">
        <v>8264.4599999999991</v>
      </c>
      <c r="M217" s="2">
        <v>0</v>
      </c>
      <c r="N217" s="12">
        <v>1735.54</v>
      </c>
      <c r="O217" s="2">
        <v>0</v>
      </c>
      <c r="P217" s="2">
        <v>0</v>
      </c>
      <c r="Q217" s="2">
        <v>0</v>
      </c>
      <c r="R217" s="2">
        <v>0</v>
      </c>
      <c r="S217" s="8" t="s">
        <v>1027</v>
      </c>
      <c r="T217" s="14" t="s">
        <v>328</v>
      </c>
      <c r="U217" s="10" t="s">
        <v>328</v>
      </c>
      <c r="V217" s="10" t="s">
        <v>328</v>
      </c>
      <c r="W217" s="1" t="s">
        <v>328</v>
      </c>
    </row>
    <row r="218" spans="1:23" x14ac:dyDescent="0.25">
      <c r="A218" s="1" t="s">
        <v>35</v>
      </c>
      <c r="B218" s="1" t="s">
        <v>36</v>
      </c>
      <c r="C218" s="1" t="s">
        <v>19</v>
      </c>
      <c r="D218" s="1">
        <v>33522734549</v>
      </c>
      <c r="E218" s="1" t="s">
        <v>20</v>
      </c>
      <c r="F218" s="1" t="s">
        <v>861</v>
      </c>
      <c r="G218" s="1" t="s">
        <v>53</v>
      </c>
      <c r="H218" s="1" t="s">
        <v>54</v>
      </c>
      <c r="I218" s="1" t="s">
        <v>869</v>
      </c>
      <c r="J218" s="2">
        <v>21</v>
      </c>
      <c r="K218" s="12">
        <v>30336333.370000001</v>
      </c>
      <c r="L218" s="2">
        <v>23981291.210000001</v>
      </c>
      <c r="M218" s="2">
        <v>0</v>
      </c>
      <c r="N218" s="12">
        <v>5036071.1399999997</v>
      </c>
      <c r="O218" s="2">
        <v>719438.74</v>
      </c>
      <c r="P218" s="2">
        <v>599532.27</v>
      </c>
      <c r="Q218" s="2">
        <v>0.01</v>
      </c>
      <c r="R218" s="2">
        <v>0</v>
      </c>
      <c r="S218" s="8" t="s">
        <v>1028</v>
      </c>
      <c r="T218" s="14" t="s">
        <v>328</v>
      </c>
      <c r="U218" s="10" t="s">
        <v>328</v>
      </c>
      <c r="V218" s="10" t="s">
        <v>328</v>
      </c>
      <c r="W218" s="1" t="s">
        <v>328</v>
      </c>
    </row>
    <row r="219" spans="1:23" x14ac:dyDescent="0.25">
      <c r="A219" s="1" t="s">
        <v>35</v>
      </c>
      <c r="B219" s="1" t="s">
        <v>36</v>
      </c>
      <c r="C219" s="1" t="s">
        <v>19</v>
      </c>
      <c r="D219" s="1">
        <v>33522734549</v>
      </c>
      <c r="E219" s="1" t="s">
        <v>20</v>
      </c>
      <c r="F219" s="1" t="s">
        <v>861</v>
      </c>
      <c r="G219" s="1" t="s">
        <v>53</v>
      </c>
      <c r="H219" s="1" t="s">
        <v>54</v>
      </c>
      <c r="I219" s="1" t="s">
        <v>870</v>
      </c>
      <c r="J219" s="2">
        <v>21</v>
      </c>
      <c r="K219" s="12">
        <v>2670026.27</v>
      </c>
      <c r="L219" s="2">
        <v>2110692.7000000002</v>
      </c>
      <c r="M219" s="2">
        <v>0</v>
      </c>
      <c r="N219" s="12">
        <v>443245.47</v>
      </c>
      <c r="O219" s="2">
        <v>63320.78</v>
      </c>
      <c r="P219" s="2">
        <v>52767.32</v>
      </c>
      <c r="Q219" s="2">
        <v>0</v>
      </c>
      <c r="R219" s="2">
        <v>0</v>
      </c>
      <c r="S219" s="8" t="s">
        <v>1029</v>
      </c>
      <c r="T219" s="14" t="s">
        <v>328</v>
      </c>
      <c r="U219" s="10" t="s">
        <v>328</v>
      </c>
      <c r="V219" s="10" t="s">
        <v>328</v>
      </c>
      <c r="W219" s="1" t="s">
        <v>328</v>
      </c>
    </row>
    <row r="220" spans="1:23" x14ac:dyDescent="0.25">
      <c r="A220" s="1" t="s">
        <v>35</v>
      </c>
      <c r="B220" s="1" t="s">
        <v>36</v>
      </c>
      <c r="C220" s="1" t="s">
        <v>19</v>
      </c>
      <c r="D220" s="1">
        <v>33522734549</v>
      </c>
      <c r="E220" s="1" t="s">
        <v>20</v>
      </c>
      <c r="F220" s="1" t="s">
        <v>861</v>
      </c>
      <c r="G220" s="1" t="s">
        <v>53</v>
      </c>
      <c r="H220" s="1" t="s">
        <v>54</v>
      </c>
      <c r="I220" s="1" t="s">
        <v>871</v>
      </c>
      <c r="J220" s="2">
        <v>21</v>
      </c>
      <c r="K220" s="12">
        <v>11606875.66</v>
      </c>
      <c r="L220" s="2">
        <v>9175395.7899999991</v>
      </c>
      <c r="M220" s="2">
        <v>0</v>
      </c>
      <c r="N220" s="12">
        <v>1926833.12</v>
      </c>
      <c r="O220" s="2">
        <v>275261.87</v>
      </c>
      <c r="P220" s="2">
        <v>229384.89</v>
      </c>
      <c r="Q220" s="2">
        <v>-0.01</v>
      </c>
      <c r="R220" s="2">
        <v>0</v>
      </c>
      <c r="S220" s="8" t="s">
        <v>1030</v>
      </c>
      <c r="T220" s="14" t="s">
        <v>328</v>
      </c>
      <c r="U220" s="10" t="s">
        <v>328</v>
      </c>
      <c r="V220" s="10" t="s">
        <v>328</v>
      </c>
      <c r="W220" s="1" t="s">
        <v>328</v>
      </c>
    </row>
    <row r="221" spans="1:23" x14ac:dyDescent="0.25">
      <c r="A221" s="1" t="s">
        <v>33</v>
      </c>
      <c r="B221" s="1" t="s">
        <v>34</v>
      </c>
      <c r="C221" s="1" t="s">
        <v>19</v>
      </c>
      <c r="D221" s="1">
        <v>33708336969</v>
      </c>
      <c r="E221" s="1" t="s">
        <v>20</v>
      </c>
      <c r="F221" s="1" t="s">
        <v>861</v>
      </c>
      <c r="G221" s="1" t="s">
        <v>53</v>
      </c>
      <c r="H221" s="1" t="s">
        <v>54</v>
      </c>
      <c r="I221" s="1" t="s">
        <v>1188</v>
      </c>
      <c r="J221" s="2">
        <v>21</v>
      </c>
      <c r="K221" s="12">
        <v>8000</v>
      </c>
      <c r="L221" s="2">
        <v>6611.57</v>
      </c>
      <c r="M221" s="2">
        <v>0</v>
      </c>
      <c r="N221" s="12">
        <v>1388.43</v>
      </c>
      <c r="O221" s="2">
        <v>0</v>
      </c>
      <c r="P221" s="2">
        <v>0</v>
      </c>
      <c r="Q221" s="2">
        <v>0</v>
      </c>
      <c r="R221" s="2">
        <v>0</v>
      </c>
      <c r="S221" s="8" t="s">
        <v>1254</v>
      </c>
      <c r="T221" s="14" t="s">
        <v>328</v>
      </c>
      <c r="U221" s="10" t="s">
        <v>328</v>
      </c>
      <c r="V221" s="10" t="s">
        <v>328</v>
      </c>
      <c r="W221" s="1" t="s">
        <v>328</v>
      </c>
    </row>
    <row r="222" spans="1:23" x14ac:dyDescent="0.25">
      <c r="A222" s="1" t="s">
        <v>99</v>
      </c>
      <c r="B222" s="1" t="s">
        <v>100</v>
      </c>
      <c r="C222" s="1" t="s">
        <v>19</v>
      </c>
      <c r="D222" s="1">
        <v>30707787364</v>
      </c>
      <c r="E222" s="1" t="s">
        <v>20</v>
      </c>
      <c r="F222" s="1" t="s">
        <v>874</v>
      </c>
      <c r="G222" s="1" t="s">
        <v>53</v>
      </c>
      <c r="H222" s="1" t="s">
        <v>54</v>
      </c>
      <c r="I222" s="1" t="s">
        <v>1189</v>
      </c>
      <c r="J222" s="2">
        <v>21</v>
      </c>
      <c r="K222" s="12">
        <v>618489.37</v>
      </c>
      <c r="L222" s="2">
        <v>511148.24</v>
      </c>
      <c r="M222" s="2">
        <v>0</v>
      </c>
      <c r="N222" s="12">
        <v>107341.13</v>
      </c>
      <c r="O222" s="2">
        <v>0</v>
      </c>
      <c r="P222" s="2">
        <v>0</v>
      </c>
      <c r="Q222" s="2">
        <v>0</v>
      </c>
      <c r="R222" s="2">
        <v>0</v>
      </c>
      <c r="S222" s="8" t="s">
        <v>1255</v>
      </c>
      <c r="T222" s="14" t="s">
        <v>328</v>
      </c>
      <c r="U222" s="10" t="s">
        <v>328</v>
      </c>
      <c r="V222" s="10" t="s">
        <v>328</v>
      </c>
      <c r="W222" s="1" t="s">
        <v>328</v>
      </c>
    </row>
    <row r="223" spans="1:23" x14ac:dyDescent="0.25">
      <c r="A223" s="1" t="s">
        <v>99</v>
      </c>
      <c r="B223" s="1" t="s">
        <v>100</v>
      </c>
      <c r="C223" s="1" t="s">
        <v>19</v>
      </c>
      <c r="D223" s="1">
        <v>30707787364</v>
      </c>
      <c r="E223" s="1" t="s">
        <v>20</v>
      </c>
      <c r="F223" s="1" t="s">
        <v>874</v>
      </c>
      <c r="G223" s="1" t="s">
        <v>53</v>
      </c>
      <c r="H223" s="1" t="s">
        <v>54</v>
      </c>
      <c r="I223" s="1" t="s">
        <v>1189</v>
      </c>
      <c r="J223" s="2">
        <v>0</v>
      </c>
      <c r="K223" s="12">
        <v>107037.23</v>
      </c>
      <c r="L223" s="2">
        <v>0</v>
      </c>
      <c r="M223" s="2">
        <v>107037.23</v>
      </c>
      <c r="N223" s="12">
        <v>0</v>
      </c>
      <c r="O223" s="2">
        <v>0</v>
      </c>
      <c r="P223" s="2">
        <v>0</v>
      </c>
      <c r="Q223" s="2">
        <v>0</v>
      </c>
      <c r="R223" s="2">
        <v>0</v>
      </c>
      <c r="S223" s="8" t="s">
        <v>1255</v>
      </c>
      <c r="T223" s="14" t="s">
        <v>328</v>
      </c>
      <c r="U223" s="10" t="s">
        <v>328</v>
      </c>
      <c r="V223" s="10" t="s">
        <v>328</v>
      </c>
      <c r="W223" s="1" t="s">
        <v>328</v>
      </c>
    </row>
    <row r="224" spans="1:23" x14ac:dyDescent="0.25">
      <c r="A224" s="1" t="s">
        <v>1190</v>
      </c>
      <c r="B224" s="1" t="s">
        <v>1191</v>
      </c>
      <c r="C224" s="1" t="s">
        <v>19</v>
      </c>
      <c r="D224" s="1">
        <v>30716472716</v>
      </c>
      <c r="E224" s="1" t="s">
        <v>20</v>
      </c>
      <c r="F224" s="1" t="s">
        <v>878</v>
      </c>
      <c r="G224" s="1" t="s">
        <v>53</v>
      </c>
      <c r="H224" s="1" t="s">
        <v>54</v>
      </c>
      <c r="I224" s="1" t="s">
        <v>1192</v>
      </c>
      <c r="J224" s="2">
        <v>21</v>
      </c>
      <c r="K224" s="12">
        <v>71798.460000000006</v>
      </c>
      <c r="L224" s="2">
        <v>59337.57</v>
      </c>
      <c r="M224" s="2">
        <v>0</v>
      </c>
      <c r="N224" s="12">
        <v>12460.89</v>
      </c>
      <c r="O224" s="2">
        <v>0</v>
      </c>
      <c r="P224" s="2">
        <v>0</v>
      </c>
      <c r="Q224" s="2">
        <v>0</v>
      </c>
      <c r="R224" s="2">
        <v>0</v>
      </c>
      <c r="S224" s="8" t="s">
        <v>1256</v>
      </c>
      <c r="T224" s="14" t="s">
        <v>328</v>
      </c>
      <c r="U224" s="10" t="s">
        <v>328</v>
      </c>
      <c r="V224" s="10" t="s">
        <v>328</v>
      </c>
      <c r="W224" s="1" t="s">
        <v>328</v>
      </c>
    </row>
    <row r="225" spans="1:23" x14ac:dyDescent="0.25">
      <c r="A225" s="1" t="s">
        <v>1190</v>
      </c>
      <c r="B225" s="1" t="s">
        <v>1191</v>
      </c>
      <c r="C225" s="1" t="s">
        <v>19</v>
      </c>
      <c r="D225" s="1">
        <v>30716472716</v>
      </c>
      <c r="E225" s="1" t="s">
        <v>20</v>
      </c>
      <c r="F225" s="1" t="s">
        <v>878</v>
      </c>
      <c r="G225" s="1" t="s">
        <v>53</v>
      </c>
      <c r="H225" s="1" t="s">
        <v>54</v>
      </c>
      <c r="I225" s="1" t="s">
        <v>1192</v>
      </c>
      <c r="J225" s="2">
        <v>0</v>
      </c>
      <c r="K225" s="12">
        <v>11209.56</v>
      </c>
      <c r="L225" s="2">
        <v>0</v>
      </c>
      <c r="M225" s="2">
        <v>11209.56</v>
      </c>
      <c r="N225" s="12">
        <v>0</v>
      </c>
      <c r="O225" s="2">
        <v>0</v>
      </c>
      <c r="P225" s="2">
        <v>0</v>
      </c>
      <c r="Q225" s="2">
        <v>0</v>
      </c>
      <c r="R225" s="2">
        <v>0</v>
      </c>
      <c r="S225" s="8" t="s">
        <v>1256</v>
      </c>
      <c r="T225" s="14" t="s">
        <v>328</v>
      </c>
      <c r="U225" s="10" t="s">
        <v>328</v>
      </c>
      <c r="V225" s="10" t="s">
        <v>328</v>
      </c>
      <c r="W225" s="1" t="s">
        <v>328</v>
      </c>
    </row>
    <row r="226" spans="1:23" x14ac:dyDescent="0.25">
      <c r="A226" s="1" t="s">
        <v>1193</v>
      </c>
      <c r="B226" s="1" t="s">
        <v>1194</v>
      </c>
      <c r="C226" s="1" t="s">
        <v>19</v>
      </c>
      <c r="D226" s="1">
        <v>23179973219</v>
      </c>
      <c r="E226" s="1" t="s">
        <v>63</v>
      </c>
      <c r="F226" s="1" t="s">
        <v>878</v>
      </c>
      <c r="G226" s="1" t="s">
        <v>53</v>
      </c>
      <c r="H226" s="1" t="s">
        <v>59</v>
      </c>
      <c r="I226" s="1" t="s">
        <v>1195</v>
      </c>
      <c r="J226" s="2">
        <v>0</v>
      </c>
      <c r="K226" s="12">
        <v>72000</v>
      </c>
      <c r="L226" s="2">
        <v>0</v>
      </c>
      <c r="M226" s="2">
        <v>72000</v>
      </c>
      <c r="N226" s="12">
        <v>0</v>
      </c>
      <c r="O226" s="2">
        <v>0</v>
      </c>
      <c r="P226" s="2">
        <v>0</v>
      </c>
      <c r="Q226" s="2">
        <v>0</v>
      </c>
      <c r="R226" s="2">
        <v>0</v>
      </c>
      <c r="S226" s="8" t="s">
        <v>1257</v>
      </c>
      <c r="T226" s="14" t="s">
        <v>328</v>
      </c>
      <c r="U226" s="10" t="s">
        <v>328</v>
      </c>
      <c r="V226" s="10" t="s">
        <v>328</v>
      </c>
      <c r="W226" s="1" t="s">
        <v>328</v>
      </c>
    </row>
    <row r="227" spans="1:23" x14ac:dyDescent="0.25">
      <c r="B227" s="1"/>
      <c r="C227" s="1"/>
      <c r="D227" s="1"/>
      <c r="E227" s="1"/>
      <c r="F227" s="1"/>
      <c r="G227" s="1"/>
      <c r="H227" s="1"/>
      <c r="I227" s="1"/>
      <c r="J227" s="2"/>
      <c r="K227" s="12"/>
      <c r="L227" s="2"/>
      <c r="M227" s="2"/>
      <c r="N227" s="12"/>
      <c r="O227" s="2"/>
      <c r="P227" s="2"/>
      <c r="Q227" s="2"/>
      <c r="R227" s="2"/>
      <c r="S227" s="8"/>
      <c r="T227" s="14"/>
      <c r="U227" s="10"/>
      <c r="V227" s="10"/>
      <c r="W227" s="1"/>
    </row>
    <row r="228" spans="1:23" x14ac:dyDescent="0.25">
      <c r="B228" s="1"/>
      <c r="C228" s="1"/>
      <c r="D228" s="1"/>
      <c r="E228" s="1"/>
      <c r="F228" s="1"/>
      <c r="G228" s="1"/>
      <c r="H228" s="1"/>
      <c r="I228" s="1"/>
      <c r="J228" s="2"/>
      <c r="K228" s="12"/>
      <c r="L228" s="2"/>
      <c r="M228" s="2"/>
      <c r="N228" s="12"/>
      <c r="O228" s="2"/>
      <c r="P228" s="2"/>
      <c r="Q228" s="2"/>
      <c r="R228" s="2"/>
      <c r="S228" s="8"/>
      <c r="T228" s="14"/>
      <c r="U228" s="10"/>
      <c r="V228" s="10"/>
      <c r="W228" s="1"/>
    </row>
  </sheetData>
  <conditionalFormatting sqref="U2:U228">
    <cfRule type="cellIs" dxfId="3" priority="3" operator="equal">
      <formula>"SI"</formula>
    </cfRule>
    <cfRule type="cellIs" dxfId="2" priority="4" operator="equal">
      <formula>"NO"</formula>
    </cfRule>
  </conditionalFormatting>
  <conditionalFormatting sqref="W2:W228">
    <cfRule type="cellIs" dxfId="1" priority="1" operator="equal">
      <formula>"SI"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Protheus</vt:lpstr>
      <vt:lpstr>AFIP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2025-06-12T16:50:12Z</dcterms:created>
  <dcterms:modified xsi:type="dcterms:W3CDTF">2025-12-16T17:30:51Z</dcterms:modified>
</cp:coreProperties>
</file>